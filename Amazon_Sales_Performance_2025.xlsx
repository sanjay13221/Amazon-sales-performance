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 A\excel\"/>
    </mc:Choice>
  </mc:AlternateContent>
  <xr:revisionPtr revIDLastSave="0" documentId="8_{0819B276-8F0A-4BB7-811A-EDED3ADD2452}" xr6:coauthVersionLast="47" xr6:coauthVersionMax="47" xr10:uidLastSave="{00000000-0000-0000-0000-000000000000}"/>
  <bookViews>
    <workbookView xWindow="-108" yWindow="-108" windowWidth="23256" windowHeight="12456" xr2:uid="{CB19ED91-34CB-4AF4-9DFF-8840F57B6F07}"/>
  </bookViews>
  <sheets>
    <sheet name="Sheet1" sheetId="2" r:id="rId1"/>
    <sheet name="Amazon_Sales_Performance_2025" sheetId="1" r:id="rId2"/>
  </sheets>
  <calcPr calcId="0"/>
  <pivotCaches>
    <pivotCache cacheId="18" r:id="rId3"/>
  </pivotCaches>
</workbook>
</file>

<file path=xl/calcChain.xml><?xml version="1.0" encoding="utf-8"?>
<calcChain xmlns="http://schemas.openxmlformats.org/spreadsheetml/2006/main">
  <c r="R18" i="2" l="1"/>
  <c r="C20" i="2"/>
  <c r="D16" i="2"/>
</calcChain>
</file>

<file path=xl/sharedStrings.xml><?xml version="1.0" encoding="utf-8"?>
<sst xmlns="http://schemas.openxmlformats.org/spreadsheetml/2006/main" count="3713" uniqueCount="67">
  <si>
    <t>Order_ID</t>
  </si>
  <si>
    <t>Order_Date</t>
  </si>
  <si>
    <t>Year</t>
  </si>
  <si>
    <t>Month</t>
  </si>
  <si>
    <t>Region</t>
  </si>
  <si>
    <t>Country</t>
  </si>
  <si>
    <t>Product_Category</t>
  </si>
  <si>
    <t>Product_Name</t>
  </si>
  <si>
    <t>Units_Sold</t>
  </si>
  <si>
    <t>Unit_Price</t>
  </si>
  <si>
    <t>Revenue</t>
  </si>
  <si>
    <t>Shipping_Cost</t>
  </si>
  <si>
    <t>Profit</t>
  </si>
  <si>
    <t>Order_Status</t>
  </si>
  <si>
    <t>May</t>
  </si>
  <si>
    <t>North America</t>
  </si>
  <si>
    <t>Canada</t>
  </si>
  <si>
    <t>Home Appliances</t>
  </si>
  <si>
    <t>Robot Vacuum</t>
  </si>
  <si>
    <t>Returned</t>
  </si>
  <si>
    <t>August</t>
  </si>
  <si>
    <t>USA</t>
  </si>
  <si>
    <t>Electronics</t>
  </si>
  <si>
    <t>Apple Watch</t>
  </si>
  <si>
    <t>Delivered</t>
  </si>
  <si>
    <t>November</t>
  </si>
  <si>
    <t>Europe</t>
  </si>
  <si>
    <t>Italy</t>
  </si>
  <si>
    <t>Echo Dot</t>
  </si>
  <si>
    <t>January</t>
  </si>
  <si>
    <t>Asia</t>
  </si>
  <si>
    <t>Singapore</t>
  </si>
  <si>
    <t>Bluetooth Speaker</t>
  </si>
  <si>
    <t>October</t>
  </si>
  <si>
    <t>UK</t>
  </si>
  <si>
    <t>Books</t>
  </si>
  <si>
    <t>Business Analytics Book</t>
  </si>
  <si>
    <t>September</t>
  </si>
  <si>
    <t>India</t>
  </si>
  <si>
    <t>Wireless Mouse</t>
  </si>
  <si>
    <t>March</t>
  </si>
  <si>
    <t>Kindle Paperwhite</t>
  </si>
  <si>
    <t>February</t>
  </si>
  <si>
    <t>Japan</t>
  </si>
  <si>
    <t>Fashion</t>
  </si>
  <si>
    <t>Women Handbag</t>
  </si>
  <si>
    <t>June</t>
  </si>
  <si>
    <t>Fire TV Stick</t>
  </si>
  <si>
    <t>Germany</t>
  </si>
  <si>
    <t>April</t>
  </si>
  <si>
    <t>Winter Jacket</t>
  </si>
  <si>
    <t>December</t>
  </si>
  <si>
    <t>Microwave Oven</t>
  </si>
  <si>
    <t>France</t>
  </si>
  <si>
    <t>July</t>
  </si>
  <si>
    <t>Air Fryer</t>
  </si>
  <si>
    <t>Men Sneakers</t>
  </si>
  <si>
    <t>Sum of Profit</t>
  </si>
  <si>
    <t>Row Labels</t>
  </si>
  <si>
    <t>Grand Total</t>
  </si>
  <si>
    <t>Sum of Units_Sold</t>
  </si>
  <si>
    <t>Sum of Shipping_Cost</t>
  </si>
  <si>
    <t>VLOOKUP</t>
  </si>
  <si>
    <t>AVERAGE</t>
  </si>
  <si>
    <t>india</t>
  </si>
  <si>
    <t>sum of units_sold</t>
  </si>
  <si>
    <t xml:space="preserve">                                          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</si>
</sst>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34" borderId="0" xfId="0" applyFill="1"/>
    <xf numFmtId="0" fontId="0" fillId="33" borderId="10" xfId="0" applyFill="1" applyBorder="1"/>
    <xf numFmtId="0" fontId="0" fillId="33" borderId="10" xfId="0" applyFill="1" applyBorder="1" applyAlignment="1">
      <alignment horizontal="left"/>
    </xf>
    <xf numFmtId="0" fontId="0" fillId="33" borderId="10" xfId="0" applyNumberFormat="1" applyFill="1" applyBorder="1"/>
    <xf numFmtId="0" fontId="0" fillId="33" borderId="10" xfId="0" applyFill="1" applyBorder="1" applyAlignment="1">
      <alignment horizontal="left" indent="1"/>
    </xf>
    <xf numFmtId="0" fontId="0" fillId="33" borderId="10" xfId="0" applyFill="1" applyBorder="1" applyAlignment="1">
      <alignment horizontal="right"/>
    </xf>
    <xf numFmtId="0" fontId="0" fillId="33" borderId="10" xfId="0" applyNumberFormat="1" applyFill="1" applyBorder="1" applyAlignment="1">
      <alignment horizontal="right"/>
    </xf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 applyAlignment="1">
      <alignment horizontal="left"/>
    </xf>
    <xf numFmtId="0" fontId="0" fillId="33" borderId="15" xfId="0" applyNumberFormat="1" applyFill="1" applyBorder="1"/>
    <xf numFmtId="0" fontId="0" fillId="33" borderId="16" xfId="0" applyFill="1" applyBorder="1" applyAlignment="1">
      <alignment horizontal="left"/>
    </xf>
    <xf numFmtId="0" fontId="0" fillId="33" borderId="17" xfId="0" applyNumberFormat="1" applyFill="1" applyBorder="1"/>
    <xf numFmtId="0" fontId="0" fillId="33" borderId="18" xfId="0" applyNumberFormat="1" applyFill="1" applyBorder="1"/>
    <xf numFmtId="0" fontId="0" fillId="34" borderId="0" xfId="0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right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y s" refreshedDate="46056.915326273149" createdVersion="8" refreshedVersion="8" minRefreshableVersion="3" recordCount="600" xr:uid="{755B09E1-1A43-4899-8B37-19B6173C83C1}">
  <cacheSource type="worksheet">
    <worksheetSource ref="A1:N601" sheet="Amazon_Sales_Performance_2025"/>
  </cacheSource>
  <cacheFields count="14">
    <cacheField name="Order_ID" numFmtId="0">
      <sharedItems containsSemiMixedTypes="0" containsString="0" containsNumber="1" containsInteger="1" minValue="9000" maxValue="9599"/>
    </cacheField>
    <cacheField name="Order_Date" numFmtId="14">
      <sharedItems containsSemiMixedTypes="0" containsNonDate="0" containsDate="1" containsString="0" minDate="2025-01-01T00:00:00" maxDate="2026-01-01T00:00:00"/>
    </cacheField>
    <cacheField name="Year" numFmtId="0">
      <sharedItems containsSemiMixedTypes="0" containsString="0" containsNumber="1" containsInteger="1" minValue="2025" maxValue="2025" count="1">
        <n v="2025"/>
      </sharedItems>
    </cacheField>
    <cacheField name="Month" numFmtId="0">
      <sharedItems count="12">
        <s v="May"/>
        <s v="August"/>
        <s v="November"/>
        <s v="January"/>
        <s v="October"/>
        <s v="September"/>
        <s v="March"/>
        <s v="February"/>
        <s v="June"/>
        <s v="April"/>
        <s v="December"/>
        <s v="July"/>
      </sharedItems>
    </cacheField>
    <cacheField name="Region" numFmtId="0">
      <sharedItems count="3">
        <s v="North America"/>
        <s v="Europe"/>
        <s v="Asia"/>
      </sharedItems>
    </cacheField>
    <cacheField name="Country" numFmtId="0">
      <sharedItems count="9">
        <s v="Canada"/>
        <s v="USA"/>
        <s v="Italy"/>
        <s v="Singapore"/>
        <s v="UK"/>
        <s v="India"/>
        <s v="Japan"/>
        <s v="Germany"/>
        <s v="France"/>
      </sharedItems>
    </cacheField>
    <cacheField name="Product_Category" numFmtId="0">
      <sharedItems count="4">
        <s v="Home Appliances"/>
        <s v="Electronics"/>
        <s v="Books"/>
        <s v="Fashion"/>
      </sharedItems>
    </cacheField>
    <cacheField name="Product_Name" numFmtId="0">
      <sharedItems count="13">
        <s v="Robot Vacuum"/>
        <s v="Apple Watch"/>
        <s v="Echo Dot"/>
        <s v="Bluetooth Speaker"/>
        <s v="Business Analytics Book"/>
        <s v="Wireless Mouse"/>
        <s v="Kindle Paperwhite"/>
        <s v="Women Handbag"/>
        <s v="Fire TV Stick"/>
        <s v="Winter Jacket"/>
        <s v="Microwave Oven"/>
        <s v="Air Fryer"/>
        <s v="Men Sneakers"/>
      </sharedItems>
    </cacheField>
    <cacheField name="Units_Sold" numFmtId="0">
      <sharedItems containsSemiMixedTypes="0" containsString="0" containsNumber="1" containsInteger="1" minValue="6" maxValue="500"/>
    </cacheField>
    <cacheField name="Unit_Price" numFmtId="0">
      <sharedItems containsSemiMixedTypes="0" containsString="0" containsNumber="1" containsInteger="1" minValue="25" maxValue="420"/>
    </cacheField>
    <cacheField name="Revenue" numFmtId="0">
      <sharedItems containsSemiMixedTypes="0" containsString="0" containsNumber="1" containsInteger="1" minValue="245" maxValue="205380"/>
    </cacheField>
    <cacheField name="Shipping_Cost" numFmtId="0">
      <sharedItems containsSemiMixedTypes="0" containsString="0" containsNumber="1" minValue="13.33" maxValue="17259.54"/>
    </cacheField>
    <cacheField name="Profit" numFmtId="0">
      <sharedItems containsSemiMixedTypes="0" containsString="0" containsNumber="1" minValue="54.29" maxValue="62699.44"/>
    </cacheField>
    <cacheField name="Order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9000"/>
    <d v="2025-05-01T00:00:00"/>
    <x v="0"/>
    <x v="0"/>
    <x v="0"/>
    <x v="0"/>
    <x v="0"/>
    <x v="0"/>
    <n v="473"/>
    <n v="350"/>
    <n v="165550"/>
    <n v="9402.59"/>
    <n v="50604.57"/>
    <s v="Returned"/>
  </r>
  <r>
    <n v="9001"/>
    <d v="2025-08-11T00:00:00"/>
    <x v="0"/>
    <x v="1"/>
    <x v="0"/>
    <x v="1"/>
    <x v="1"/>
    <x v="1"/>
    <n v="294"/>
    <n v="420"/>
    <n v="123480"/>
    <n v="8210.2800000000007"/>
    <n v="29408.14"/>
    <s v="Delivered"/>
  </r>
  <r>
    <n v="9002"/>
    <d v="2025-11-18T00:00:00"/>
    <x v="0"/>
    <x v="2"/>
    <x v="1"/>
    <x v="2"/>
    <x v="1"/>
    <x v="2"/>
    <n v="491"/>
    <n v="50"/>
    <n v="24550"/>
    <n v="1254.3699999999999"/>
    <n v="5868.29"/>
    <s v="Delivered"/>
  </r>
  <r>
    <n v="9003"/>
    <d v="2025-01-01T00:00:00"/>
    <x v="0"/>
    <x v="3"/>
    <x v="2"/>
    <x v="3"/>
    <x v="1"/>
    <x v="3"/>
    <n v="105"/>
    <n v="60"/>
    <n v="6300"/>
    <n v="407.18"/>
    <n v="1939.14"/>
    <s v="Returned"/>
  </r>
  <r>
    <n v="9004"/>
    <d v="2025-10-17T00:00:00"/>
    <x v="0"/>
    <x v="4"/>
    <x v="1"/>
    <x v="4"/>
    <x v="2"/>
    <x v="4"/>
    <n v="256"/>
    <n v="35"/>
    <n v="8960"/>
    <n v="869.61"/>
    <n v="2699.77"/>
    <s v="Returned"/>
  </r>
  <r>
    <n v="9005"/>
    <d v="2025-09-27T00:00:00"/>
    <x v="0"/>
    <x v="5"/>
    <x v="1"/>
    <x v="2"/>
    <x v="1"/>
    <x v="1"/>
    <n v="489"/>
    <n v="420"/>
    <n v="205380"/>
    <n v="16291.49"/>
    <n v="43413.87"/>
    <s v="Returned"/>
  </r>
  <r>
    <n v="9006"/>
    <d v="2025-10-14T00:00:00"/>
    <x v="0"/>
    <x v="4"/>
    <x v="2"/>
    <x v="5"/>
    <x v="1"/>
    <x v="5"/>
    <n v="373"/>
    <n v="25"/>
    <n v="9325"/>
    <n v="545.47"/>
    <n v="2148.9499999999998"/>
    <s v="Delivered"/>
  </r>
  <r>
    <n v="9007"/>
    <d v="2025-03-05T00:00:00"/>
    <x v="0"/>
    <x v="6"/>
    <x v="2"/>
    <x v="5"/>
    <x v="2"/>
    <x v="6"/>
    <n v="157"/>
    <n v="140"/>
    <n v="21980"/>
    <n v="1647.98"/>
    <n v="6589.8"/>
    <s v="Returned"/>
  </r>
  <r>
    <n v="9008"/>
    <d v="2025-02-20T00:00:00"/>
    <x v="0"/>
    <x v="7"/>
    <x v="2"/>
    <x v="6"/>
    <x v="3"/>
    <x v="7"/>
    <n v="172"/>
    <n v="55"/>
    <n v="9460"/>
    <n v="774.59"/>
    <n v="2645.61"/>
    <s v="Returned"/>
  </r>
  <r>
    <n v="9009"/>
    <d v="2025-06-18T00:00:00"/>
    <x v="0"/>
    <x v="8"/>
    <x v="2"/>
    <x v="5"/>
    <x v="1"/>
    <x v="8"/>
    <n v="399"/>
    <n v="45"/>
    <n v="17955"/>
    <n v="1511.26"/>
    <n v="3454.79"/>
    <s v="Delivered"/>
  </r>
  <r>
    <n v="9010"/>
    <d v="2025-10-19T00:00:00"/>
    <x v="0"/>
    <x v="4"/>
    <x v="1"/>
    <x v="7"/>
    <x v="1"/>
    <x v="5"/>
    <n v="242"/>
    <n v="25"/>
    <n v="6050"/>
    <n v="350.81"/>
    <n v="1976.42"/>
    <s v="Returned"/>
  </r>
  <r>
    <n v="9011"/>
    <d v="2025-05-23T00:00:00"/>
    <x v="0"/>
    <x v="0"/>
    <x v="0"/>
    <x v="0"/>
    <x v="2"/>
    <x v="6"/>
    <n v="225"/>
    <n v="140"/>
    <n v="31500"/>
    <n v="1802.41"/>
    <n v="10652.72"/>
    <s v="Delivered"/>
  </r>
  <r>
    <n v="9012"/>
    <d v="2025-04-08T00:00:00"/>
    <x v="0"/>
    <x v="9"/>
    <x v="0"/>
    <x v="1"/>
    <x v="3"/>
    <x v="9"/>
    <n v="478"/>
    <n v="150"/>
    <n v="71700"/>
    <n v="3614.44"/>
    <n v="24906.57"/>
    <s v="Returned"/>
  </r>
  <r>
    <n v="9013"/>
    <d v="2025-12-31T00:00:00"/>
    <x v="0"/>
    <x v="10"/>
    <x v="0"/>
    <x v="0"/>
    <x v="0"/>
    <x v="10"/>
    <n v="170"/>
    <n v="300"/>
    <n v="51000"/>
    <n v="3491.39"/>
    <n v="11782.01"/>
    <s v="Delivered"/>
  </r>
  <r>
    <n v="9014"/>
    <d v="2025-11-07T00:00:00"/>
    <x v="0"/>
    <x v="2"/>
    <x v="0"/>
    <x v="0"/>
    <x v="2"/>
    <x v="6"/>
    <n v="275"/>
    <n v="140"/>
    <n v="38500"/>
    <n v="2249.04"/>
    <n v="8368.7199999999993"/>
    <s v="Delivered"/>
  </r>
  <r>
    <n v="9015"/>
    <d v="2025-09-30T00:00:00"/>
    <x v="0"/>
    <x v="5"/>
    <x v="2"/>
    <x v="5"/>
    <x v="0"/>
    <x v="10"/>
    <n v="271"/>
    <n v="300"/>
    <n v="81300"/>
    <n v="5473.3"/>
    <n v="23066.29"/>
    <s v="Delivered"/>
  </r>
  <r>
    <n v="9016"/>
    <d v="2025-09-04T00:00:00"/>
    <x v="0"/>
    <x v="5"/>
    <x v="1"/>
    <x v="8"/>
    <x v="1"/>
    <x v="5"/>
    <n v="414"/>
    <n v="25"/>
    <n v="10350"/>
    <n v="652.67999999999995"/>
    <n v="1984.6"/>
    <s v="Delivered"/>
  </r>
  <r>
    <n v="9017"/>
    <d v="2025-12-24T00:00:00"/>
    <x v="0"/>
    <x v="10"/>
    <x v="1"/>
    <x v="7"/>
    <x v="1"/>
    <x v="2"/>
    <n v="417"/>
    <n v="50"/>
    <n v="20850"/>
    <n v="1357.53"/>
    <n v="4494.2700000000004"/>
    <s v="Returned"/>
  </r>
  <r>
    <n v="9018"/>
    <d v="2025-06-06T00:00:00"/>
    <x v="0"/>
    <x v="8"/>
    <x v="2"/>
    <x v="5"/>
    <x v="1"/>
    <x v="3"/>
    <n v="191"/>
    <n v="60"/>
    <n v="11460"/>
    <n v="934.51"/>
    <n v="2270.06"/>
    <s v="Returned"/>
  </r>
  <r>
    <n v="9019"/>
    <d v="2025-05-09T00:00:00"/>
    <x v="0"/>
    <x v="0"/>
    <x v="1"/>
    <x v="7"/>
    <x v="1"/>
    <x v="2"/>
    <n v="381"/>
    <n v="50"/>
    <n v="19050"/>
    <n v="1523.47"/>
    <n v="5379.04"/>
    <s v="Returned"/>
  </r>
  <r>
    <n v="9020"/>
    <d v="2025-01-25T00:00:00"/>
    <x v="0"/>
    <x v="3"/>
    <x v="0"/>
    <x v="1"/>
    <x v="2"/>
    <x v="4"/>
    <n v="197"/>
    <n v="35"/>
    <n v="6895"/>
    <n v="632.59"/>
    <n v="1650.65"/>
    <s v="Delivered"/>
  </r>
  <r>
    <n v="9021"/>
    <d v="2025-01-01T00:00:00"/>
    <x v="0"/>
    <x v="3"/>
    <x v="2"/>
    <x v="5"/>
    <x v="0"/>
    <x v="0"/>
    <n v="177"/>
    <n v="350"/>
    <n v="61950"/>
    <n v="5823.98"/>
    <n v="13312.99"/>
    <s v="Returned"/>
  </r>
  <r>
    <n v="9022"/>
    <d v="2025-07-16T00:00:00"/>
    <x v="0"/>
    <x v="11"/>
    <x v="2"/>
    <x v="6"/>
    <x v="1"/>
    <x v="2"/>
    <n v="154"/>
    <n v="50"/>
    <n v="7700"/>
    <n v="649.67999999999995"/>
    <n v="2331.5100000000002"/>
    <s v="Delivered"/>
  </r>
  <r>
    <n v="9023"/>
    <d v="2025-04-04T00:00:00"/>
    <x v="0"/>
    <x v="9"/>
    <x v="0"/>
    <x v="1"/>
    <x v="1"/>
    <x v="8"/>
    <n v="129"/>
    <n v="45"/>
    <n v="5805"/>
    <n v="530.4"/>
    <n v="1389.54"/>
    <s v="Delivered"/>
  </r>
  <r>
    <n v="9024"/>
    <d v="2025-05-22T00:00:00"/>
    <x v="0"/>
    <x v="0"/>
    <x v="1"/>
    <x v="7"/>
    <x v="3"/>
    <x v="9"/>
    <n v="431"/>
    <n v="150"/>
    <n v="64650"/>
    <n v="3494.72"/>
    <n v="16210.26"/>
    <s v="Delivered"/>
  </r>
  <r>
    <n v="9025"/>
    <d v="2025-03-29T00:00:00"/>
    <x v="0"/>
    <x v="6"/>
    <x v="1"/>
    <x v="2"/>
    <x v="0"/>
    <x v="11"/>
    <n v="183"/>
    <n v="120"/>
    <n v="21960"/>
    <n v="1448.29"/>
    <n v="6959.66"/>
    <s v="Returned"/>
  </r>
  <r>
    <n v="9026"/>
    <d v="2025-05-28T00:00:00"/>
    <x v="0"/>
    <x v="0"/>
    <x v="0"/>
    <x v="0"/>
    <x v="2"/>
    <x v="4"/>
    <n v="412"/>
    <n v="35"/>
    <n v="14420"/>
    <n v="1077.1300000000001"/>
    <n v="2723.87"/>
    <s v="Returned"/>
  </r>
  <r>
    <n v="9027"/>
    <d v="2025-12-31T00:00:00"/>
    <x v="0"/>
    <x v="10"/>
    <x v="1"/>
    <x v="7"/>
    <x v="2"/>
    <x v="4"/>
    <n v="320"/>
    <n v="35"/>
    <n v="11200"/>
    <n v="1099.5899999999999"/>
    <n v="1787.2"/>
    <s v="Delivered"/>
  </r>
  <r>
    <n v="9028"/>
    <d v="2025-06-05T00:00:00"/>
    <x v="0"/>
    <x v="8"/>
    <x v="1"/>
    <x v="8"/>
    <x v="2"/>
    <x v="6"/>
    <n v="221"/>
    <n v="140"/>
    <n v="30940"/>
    <n v="1890.39"/>
    <n v="10390.4"/>
    <s v="Delivered"/>
  </r>
  <r>
    <n v="9029"/>
    <d v="2025-02-12T00:00:00"/>
    <x v="0"/>
    <x v="7"/>
    <x v="0"/>
    <x v="1"/>
    <x v="0"/>
    <x v="10"/>
    <n v="90"/>
    <n v="300"/>
    <n v="27000"/>
    <n v="2470.84"/>
    <n v="4824.1400000000003"/>
    <s v="Delivered"/>
  </r>
  <r>
    <n v="9030"/>
    <d v="2025-11-28T00:00:00"/>
    <x v="0"/>
    <x v="2"/>
    <x v="2"/>
    <x v="5"/>
    <x v="1"/>
    <x v="8"/>
    <n v="264"/>
    <n v="45"/>
    <n v="11880"/>
    <n v="859.14"/>
    <n v="3854.28"/>
    <s v="Delivered"/>
  </r>
  <r>
    <n v="9031"/>
    <d v="2025-11-25T00:00:00"/>
    <x v="0"/>
    <x v="2"/>
    <x v="1"/>
    <x v="7"/>
    <x v="3"/>
    <x v="12"/>
    <n v="129"/>
    <n v="80"/>
    <n v="10320"/>
    <n v="973.87"/>
    <n v="2165.35"/>
    <s v="Returned"/>
  </r>
  <r>
    <n v="9032"/>
    <d v="2025-05-07T00:00:00"/>
    <x v="0"/>
    <x v="0"/>
    <x v="2"/>
    <x v="6"/>
    <x v="0"/>
    <x v="11"/>
    <n v="112"/>
    <n v="120"/>
    <n v="13440"/>
    <n v="921.02"/>
    <n v="4041.84"/>
    <s v="Delivered"/>
  </r>
  <r>
    <n v="9033"/>
    <d v="2025-01-06T00:00:00"/>
    <x v="0"/>
    <x v="3"/>
    <x v="2"/>
    <x v="5"/>
    <x v="1"/>
    <x v="3"/>
    <n v="107"/>
    <n v="60"/>
    <n v="6420"/>
    <n v="476.03"/>
    <n v="1902.59"/>
    <s v="Returned"/>
  </r>
  <r>
    <n v="9034"/>
    <d v="2025-07-26T00:00:00"/>
    <x v="0"/>
    <x v="11"/>
    <x v="2"/>
    <x v="3"/>
    <x v="2"/>
    <x v="4"/>
    <n v="171"/>
    <n v="35"/>
    <n v="5985"/>
    <n v="357.12"/>
    <n v="1504.92"/>
    <s v="Delivered"/>
  </r>
  <r>
    <n v="9035"/>
    <d v="2025-05-05T00:00:00"/>
    <x v="0"/>
    <x v="0"/>
    <x v="1"/>
    <x v="2"/>
    <x v="1"/>
    <x v="2"/>
    <n v="34"/>
    <n v="50"/>
    <n v="1700"/>
    <n v="92.38"/>
    <n v="491.5"/>
    <s v="Returned"/>
  </r>
  <r>
    <n v="9036"/>
    <d v="2025-10-23T00:00:00"/>
    <x v="0"/>
    <x v="4"/>
    <x v="1"/>
    <x v="4"/>
    <x v="3"/>
    <x v="7"/>
    <n v="356"/>
    <n v="55"/>
    <n v="19580"/>
    <n v="1187.78"/>
    <n v="5179.16"/>
    <s v="Delivered"/>
  </r>
  <r>
    <n v="9037"/>
    <d v="2025-10-03T00:00:00"/>
    <x v="0"/>
    <x v="4"/>
    <x v="2"/>
    <x v="3"/>
    <x v="1"/>
    <x v="8"/>
    <n v="311"/>
    <n v="45"/>
    <n v="13995"/>
    <n v="1388.21"/>
    <n v="3327.47"/>
    <s v="Delivered"/>
  </r>
  <r>
    <n v="9038"/>
    <d v="2025-02-15T00:00:00"/>
    <x v="0"/>
    <x v="7"/>
    <x v="2"/>
    <x v="6"/>
    <x v="3"/>
    <x v="12"/>
    <n v="215"/>
    <n v="80"/>
    <n v="17200"/>
    <n v="1630.03"/>
    <n v="3467.19"/>
    <s v="Returned"/>
  </r>
  <r>
    <n v="9039"/>
    <d v="2025-04-30T00:00:00"/>
    <x v="0"/>
    <x v="9"/>
    <x v="1"/>
    <x v="4"/>
    <x v="3"/>
    <x v="9"/>
    <n v="325"/>
    <n v="150"/>
    <n v="48750"/>
    <n v="4595.8999999999996"/>
    <n v="14790.45"/>
    <s v="Delivered"/>
  </r>
  <r>
    <n v="9040"/>
    <d v="2025-07-10T00:00:00"/>
    <x v="0"/>
    <x v="11"/>
    <x v="2"/>
    <x v="3"/>
    <x v="3"/>
    <x v="7"/>
    <n v="366"/>
    <n v="55"/>
    <n v="20130"/>
    <n v="1432.93"/>
    <n v="5766.14"/>
    <s v="Delivered"/>
  </r>
  <r>
    <n v="9041"/>
    <d v="2025-03-25T00:00:00"/>
    <x v="0"/>
    <x v="6"/>
    <x v="2"/>
    <x v="5"/>
    <x v="1"/>
    <x v="5"/>
    <n v="400"/>
    <n v="25"/>
    <n v="10000"/>
    <n v="990.02"/>
    <n v="1912.98"/>
    <s v="Delivered"/>
  </r>
  <r>
    <n v="9042"/>
    <d v="2025-05-11T00:00:00"/>
    <x v="0"/>
    <x v="0"/>
    <x v="2"/>
    <x v="5"/>
    <x v="1"/>
    <x v="3"/>
    <n v="205"/>
    <n v="60"/>
    <n v="12300"/>
    <n v="638.28"/>
    <n v="4018.14"/>
    <s v="Returned"/>
  </r>
  <r>
    <n v="9043"/>
    <d v="2025-01-28T00:00:00"/>
    <x v="0"/>
    <x v="3"/>
    <x v="2"/>
    <x v="6"/>
    <x v="1"/>
    <x v="5"/>
    <n v="353"/>
    <n v="25"/>
    <n v="8825"/>
    <n v="620.62"/>
    <n v="2733.75"/>
    <s v="Delivered"/>
  </r>
  <r>
    <n v="9044"/>
    <d v="2025-04-20T00:00:00"/>
    <x v="0"/>
    <x v="9"/>
    <x v="2"/>
    <x v="5"/>
    <x v="2"/>
    <x v="6"/>
    <n v="153"/>
    <n v="140"/>
    <n v="21420"/>
    <n v="1473.61"/>
    <n v="5987.85"/>
    <s v="Returned"/>
  </r>
  <r>
    <n v="9045"/>
    <d v="2025-03-10T00:00:00"/>
    <x v="0"/>
    <x v="6"/>
    <x v="2"/>
    <x v="3"/>
    <x v="0"/>
    <x v="0"/>
    <n v="92"/>
    <n v="350"/>
    <n v="32200"/>
    <n v="2953.25"/>
    <n v="6202.4"/>
    <s v="Delivered"/>
  </r>
  <r>
    <n v="9046"/>
    <d v="2025-12-23T00:00:00"/>
    <x v="0"/>
    <x v="10"/>
    <x v="1"/>
    <x v="2"/>
    <x v="0"/>
    <x v="10"/>
    <n v="169"/>
    <n v="300"/>
    <n v="50700"/>
    <n v="2542.58"/>
    <n v="12873.77"/>
    <s v="Delivered"/>
  </r>
  <r>
    <n v="9047"/>
    <d v="2025-10-20T00:00:00"/>
    <x v="0"/>
    <x v="4"/>
    <x v="1"/>
    <x v="2"/>
    <x v="1"/>
    <x v="3"/>
    <n v="217"/>
    <n v="60"/>
    <n v="13020"/>
    <n v="969.88"/>
    <n v="2508.56"/>
    <s v="Delivered"/>
  </r>
  <r>
    <n v="9048"/>
    <d v="2025-09-15T00:00:00"/>
    <x v="0"/>
    <x v="5"/>
    <x v="1"/>
    <x v="7"/>
    <x v="2"/>
    <x v="6"/>
    <n v="204"/>
    <n v="140"/>
    <n v="28560"/>
    <n v="2634.08"/>
    <n v="7196.59"/>
    <s v="Delivered"/>
  </r>
  <r>
    <n v="9049"/>
    <d v="2025-10-24T00:00:00"/>
    <x v="0"/>
    <x v="4"/>
    <x v="1"/>
    <x v="8"/>
    <x v="1"/>
    <x v="1"/>
    <n v="298"/>
    <n v="420"/>
    <n v="125160"/>
    <n v="7159.14"/>
    <n v="24870.51"/>
    <s v="Delivered"/>
  </r>
  <r>
    <n v="9050"/>
    <d v="2025-02-04T00:00:00"/>
    <x v="0"/>
    <x v="7"/>
    <x v="1"/>
    <x v="2"/>
    <x v="1"/>
    <x v="3"/>
    <n v="107"/>
    <n v="60"/>
    <n v="6420"/>
    <n v="573.79"/>
    <n v="1058.72"/>
    <s v="Delivered"/>
  </r>
  <r>
    <n v="9051"/>
    <d v="2025-07-06T00:00:00"/>
    <x v="0"/>
    <x v="11"/>
    <x v="0"/>
    <x v="1"/>
    <x v="1"/>
    <x v="1"/>
    <n v="369"/>
    <n v="420"/>
    <n v="154980"/>
    <n v="9601.32"/>
    <n v="30230.99"/>
    <s v="Returned"/>
  </r>
  <r>
    <n v="9052"/>
    <d v="2025-10-31T00:00:00"/>
    <x v="0"/>
    <x v="4"/>
    <x v="1"/>
    <x v="4"/>
    <x v="1"/>
    <x v="2"/>
    <n v="192"/>
    <n v="50"/>
    <n v="9600"/>
    <n v="916.42"/>
    <n v="2115.14"/>
    <s v="Returned"/>
  </r>
  <r>
    <n v="9053"/>
    <d v="2025-12-10T00:00:00"/>
    <x v="0"/>
    <x v="10"/>
    <x v="1"/>
    <x v="8"/>
    <x v="2"/>
    <x v="6"/>
    <n v="319"/>
    <n v="140"/>
    <n v="44660"/>
    <n v="3494.88"/>
    <n v="11036.84"/>
    <s v="Delivered"/>
  </r>
  <r>
    <n v="9054"/>
    <d v="2025-10-10T00:00:00"/>
    <x v="0"/>
    <x v="4"/>
    <x v="1"/>
    <x v="7"/>
    <x v="1"/>
    <x v="3"/>
    <n v="374"/>
    <n v="60"/>
    <n v="22440"/>
    <n v="1927.06"/>
    <n v="6197.91"/>
    <s v="Returned"/>
  </r>
  <r>
    <n v="9055"/>
    <d v="2025-06-04T00:00:00"/>
    <x v="0"/>
    <x v="8"/>
    <x v="2"/>
    <x v="5"/>
    <x v="3"/>
    <x v="7"/>
    <n v="244"/>
    <n v="55"/>
    <n v="13420"/>
    <n v="814.56"/>
    <n v="3707.73"/>
    <s v="Delivered"/>
  </r>
  <r>
    <n v="9056"/>
    <d v="2025-12-14T00:00:00"/>
    <x v="0"/>
    <x v="10"/>
    <x v="1"/>
    <x v="2"/>
    <x v="0"/>
    <x v="0"/>
    <n v="360"/>
    <n v="350"/>
    <n v="126000"/>
    <n v="9452.77"/>
    <n v="35694.14"/>
    <s v="Returned"/>
  </r>
  <r>
    <n v="9057"/>
    <d v="2025-04-09T00:00:00"/>
    <x v="0"/>
    <x v="9"/>
    <x v="0"/>
    <x v="0"/>
    <x v="1"/>
    <x v="2"/>
    <n v="435"/>
    <n v="50"/>
    <n v="21750"/>
    <n v="1966.67"/>
    <n v="6345.56"/>
    <s v="Delivered"/>
  </r>
  <r>
    <n v="9058"/>
    <d v="2025-09-12T00:00:00"/>
    <x v="0"/>
    <x v="5"/>
    <x v="2"/>
    <x v="5"/>
    <x v="0"/>
    <x v="10"/>
    <n v="129"/>
    <n v="300"/>
    <n v="38700"/>
    <n v="2915.51"/>
    <n v="10664.74"/>
    <s v="Returned"/>
  </r>
  <r>
    <n v="9059"/>
    <d v="2025-10-25T00:00:00"/>
    <x v="0"/>
    <x v="4"/>
    <x v="2"/>
    <x v="6"/>
    <x v="0"/>
    <x v="10"/>
    <n v="33"/>
    <n v="300"/>
    <n v="9900"/>
    <n v="912.35"/>
    <n v="2525.4699999999998"/>
    <s v="Returned"/>
  </r>
  <r>
    <n v="9060"/>
    <d v="2025-11-09T00:00:00"/>
    <x v="0"/>
    <x v="2"/>
    <x v="1"/>
    <x v="4"/>
    <x v="2"/>
    <x v="4"/>
    <n v="70"/>
    <n v="35"/>
    <n v="2450"/>
    <n v="128.49"/>
    <n v="491.54"/>
    <s v="Returned"/>
  </r>
  <r>
    <n v="9061"/>
    <d v="2025-01-03T00:00:00"/>
    <x v="0"/>
    <x v="3"/>
    <x v="1"/>
    <x v="2"/>
    <x v="1"/>
    <x v="8"/>
    <n v="243"/>
    <n v="45"/>
    <n v="10935"/>
    <n v="918.75"/>
    <n v="3401.87"/>
    <s v="Returned"/>
  </r>
  <r>
    <n v="9062"/>
    <d v="2025-02-25T00:00:00"/>
    <x v="0"/>
    <x v="7"/>
    <x v="1"/>
    <x v="4"/>
    <x v="0"/>
    <x v="11"/>
    <n v="414"/>
    <n v="120"/>
    <n v="49680"/>
    <n v="3602.72"/>
    <n v="11839.14"/>
    <s v="Returned"/>
  </r>
  <r>
    <n v="9063"/>
    <d v="2025-06-12T00:00:00"/>
    <x v="0"/>
    <x v="8"/>
    <x v="1"/>
    <x v="7"/>
    <x v="1"/>
    <x v="3"/>
    <n v="451"/>
    <n v="60"/>
    <n v="27060"/>
    <n v="2635.29"/>
    <n v="5801.53"/>
    <s v="Delivered"/>
  </r>
  <r>
    <n v="9064"/>
    <d v="2025-04-25T00:00:00"/>
    <x v="0"/>
    <x v="9"/>
    <x v="2"/>
    <x v="3"/>
    <x v="1"/>
    <x v="2"/>
    <n v="294"/>
    <n v="50"/>
    <n v="14700"/>
    <n v="986.66"/>
    <n v="3803.2"/>
    <s v="Returned"/>
  </r>
  <r>
    <n v="9065"/>
    <d v="2025-09-23T00:00:00"/>
    <x v="0"/>
    <x v="5"/>
    <x v="1"/>
    <x v="4"/>
    <x v="0"/>
    <x v="11"/>
    <n v="198"/>
    <n v="120"/>
    <n v="23760"/>
    <n v="1936.06"/>
    <n v="5923.15"/>
    <s v="Delivered"/>
  </r>
  <r>
    <n v="9066"/>
    <d v="2025-02-17T00:00:00"/>
    <x v="0"/>
    <x v="7"/>
    <x v="1"/>
    <x v="2"/>
    <x v="1"/>
    <x v="2"/>
    <n v="46"/>
    <n v="50"/>
    <n v="2300"/>
    <n v="213.29"/>
    <n v="669.55"/>
    <s v="Returned"/>
  </r>
  <r>
    <n v="9067"/>
    <d v="2025-02-22T00:00:00"/>
    <x v="0"/>
    <x v="7"/>
    <x v="2"/>
    <x v="3"/>
    <x v="0"/>
    <x v="10"/>
    <n v="275"/>
    <n v="300"/>
    <n v="82500"/>
    <n v="7176.72"/>
    <n v="25600.74"/>
    <s v="Returned"/>
  </r>
  <r>
    <n v="9068"/>
    <d v="2025-07-02T00:00:00"/>
    <x v="0"/>
    <x v="11"/>
    <x v="0"/>
    <x v="0"/>
    <x v="0"/>
    <x v="11"/>
    <n v="156"/>
    <n v="120"/>
    <n v="18720"/>
    <n v="1678.8"/>
    <n v="3133.71"/>
    <s v="Returned"/>
  </r>
  <r>
    <n v="9069"/>
    <d v="2025-04-02T00:00:00"/>
    <x v="0"/>
    <x v="9"/>
    <x v="1"/>
    <x v="7"/>
    <x v="3"/>
    <x v="7"/>
    <n v="252"/>
    <n v="55"/>
    <n v="13860"/>
    <n v="1004.78"/>
    <n v="3270.9"/>
    <s v="Returned"/>
  </r>
  <r>
    <n v="9070"/>
    <d v="2025-09-09T00:00:00"/>
    <x v="0"/>
    <x v="5"/>
    <x v="0"/>
    <x v="1"/>
    <x v="1"/>
    <x v="8"/>
    <n v="372"/>
    <n v="45"/>
    <n v="16740"/>
    <n v="1428.94"/>
    <n v="3342.72"/>
    <s v="Returned"/>
  </r>
  <r>
    <n v="9071"/>
    <d v="2025-12-25T00:00:00"/>
    <x v="0"/>
    <x v="10"/>
    <x v="1"/>
    <x v="2"/>
    <x v="3"/>
    <x v="7"/>
    <n v="482"/>
    <n v="55"/>
    <n v="26510"/>
    <n v="1449.45"/>
    <n v="6712.3"/>
    <s v="Delivered"/>
  </r>
  <r>
    <n v="9072"/>
    <d v="2025-08-28T00:00:00"/>
    <x v="0"/>
    <x v="1"/>
    <x v="2"/>
    <x v="6"/>
    <x v="1"/>
    <x v="5"/>
    <n v="465"/>
    <n v="25"/>
    <n v="11625"/>
    <n v="710.47"/>
    <n v="2228.6"/>
    <s v="Returned"/>
  </r>
  <r>
    <n v="9073"/>
    <d v="2025-10-10T00:00:00"/>
    <x v="0"/>
    <x v="4"/>
    <x v="0"/>
    <x v="0"/>
    <x v="3"/>
    <x v="7"/>
    <n v="24"/>
    <n v="55"/>
    <n v="1320"/>
    <n v="116.67"/>
    <n v="410.55"/>
    <s v="Returned"/>
  </r>
  <r>
    <n v="9074"/>
    <d v="2025-05-06T00:00:00"/>
    <x v="0"/>
    <x v="0"/>
    <x v="2"/>
    <x v="5"/>
    <x v="1"/>
    <x v="3"/>
    <n v="497"/>
    <n v="60"/>
    <n v="29820"/>
    <n v="2624.68"/>
    <n v="6788.52"/>
    <s v="Delivered"/>
  </r>
  <r>
    <n v="9075"/>
    <d v="2025-03-17T00:00:00"/>
    <x v="0"/>
    <x v="6"/>
    <x v="1"/>
    <x v="8"/>
    <x v="0"/>
    <x v="11"/>
    <n v="50"/>
    <n v="120"/>
    <n v="6000"/>
    <n v="379.28"/>
    <n v="1320.16"/>
    <s v="Returned"/>
  </r>
  <r>
    <n v="9076"/>
    <d v="2025-05-21T00:00:00"/>
    <x v="0"/>
    <x v="0"/>
    <x v="1"/>
    <x v="8"/>
    <x v="0"/>
    <x v="0"/>
    <n v="389"/>
    <n v="350"/>
    <n v="136150"/>
    <n v="9582.86"/>
    <n v="41212.400000000001"/>
    <s v="Delivered"/>
  </r>
  <r>
    <n v="9077"/>
    <d v="2025-09-19T00:00:00"/>
    <x v="0"/>
    <x v="5"/>
    <x v="1"/>
    <x v="2"/>
    <x v="1"/>
    <x v="3"/>
    <n v="398"/>
    <n v="60"/>
    <n v="23880"/>
    <n v="1214.96"/>
    <n v="5197.88"/>
    <s v="Delivered"/>
  </r>
  <r>
    <n v="9078"/>
    <d v="2025-10-30T00:00:00"/>
    <x v="0"/>
    <x v="4"/>
    <x v="1"/>
    <x v="4"/>
    <x v="1"/>
    <x v="5"/>
    <n v="400"/>
    <n v="25"/>
    <n v="10000"/>
    <n v="642.25"/>
    <n v="2045.2"/>
    <s v="Delivered"/>
  </r>
  <r>
    <n v="9079"/>
    <d v="2025-11-14T00:00:00"/>
    <x v="0"/>
    <x v="2"/>
    <x v="0"/>
    <x v="1"/>
    <x v="0"/>
    <x v="10"/>
    <n v="236"/>
    <n v="300"/>
    <n v="70800"/>
    <n v="3555.5"/>
    <n v="19475.27"/>
    <s v="Delivered"/>
  </r>
  <r>
    <n v="9080"/>
    <d v="2025-07-31T00:00:00"/>
    <x v="0"/>
    <x v="11"/>
    <x v="1"/>
    <x v="4"/>
    <x v="1"/>
    <x v="1"/>
    <n v="110"/>
    <n v="420"/>
    <n v="46200"/>
    <n v="2390.44"/>
    <n v="15396.1"/>
    <s v="Returned"/>
  </r>
  <r>
    <n v="9081"/>
    <d v="2025-12-07T00:00:00"/>
    <x v="0"/>
    <x v="10"/>
    <x v="2"/>
    <x v="6"/>
    <x v="3"/>
    <x v="9"/>
    <n v="65"/>
    <n v="150"/>
    <n v="9750"/>
    <n v="948.68"/>
    <n v="2596.62"/>
    <s v="Delivered"/>
  </r>
  <r>
    <n v="9082"/>
    <d v="2025-08-05T00:00:00"/>
    <x v="0"/>
    <x v="1"/>
    <x v="2"/>
    <x v="3"/>
    <x v="1"/>
    <x v="1"/>
    <n v="213"/>
    <n v="420"/>
    <n v="89460"/>
    <n v="5479.43"/>
    <n v="24725.37"/>
    <s v="Delivered"/>
  </r>
  <r>
    <n v="9083"/>
    <d v="2025-07-26T00:00:00"/>
    <x v="0"/>
    <x v="11"/>
    <x v="0"/>
    <x v="1"/>
    <x v="3"/>
    <x v="7"/>
    <n v="416"/>
    <n v="55"/>
    <n v="22880"/>
    <n v="1169.9100000000001"/>
    <n v="5964.38"/>
    <s v="Returned"/>
  </r>
  <r>
    <n v="9084"/>
    <d v="2025-04-07T00:00:00"/>
    <x v="0"/>
    <x v="9"/>
    <x v="2"/>
    <x v="6"/>
    <x v="0"/>
    <x v="11"/>
    <n v="187"/>
    <n v="120"/>
    <n v="22440"/>
    <n v="1421.09"/>
    <n v="5170.66"/>
    <s v="Returned"/>
  </r>
  <r>
    <n v="9085"/>
    <d v="2025-05-28T00:00:00"/>
    <x v="0"/>
    <x v="0"/>
    <x v="0"/>
    <x v="1"/>
    <x v="1"/>
    <x v="5"/>
    <n v="181"/>
    <n v="25"/>
    <n v="4525"/>
    <n v="269.20999999999998"/>
    <n v="1285.3"/>
    <s v="Returned"/>
  </r>
  <r>
    <n v="9086"/>
    <d v="2025-10-25T00:00:00"/>
    <x v="0"/>
    <x v="4"/>
    <x v="1"/>
    <x v="4"/>
    <x v="3"/>
    <x v="9"/>
    <n v="468"/>
    <n v="150"/>
    <n v="70200"/>
    <n v="5970.9"/>
    <n v="21304.32"/>
    <s v="Returned"/>
  </r>
  <r>
    <n v="9087"/>
    <d v="2025-01-03T00:00:00"/>
    <x v="0"/>
    <x v="3"/>
    <x v="1"/>
    <x v="4"/>
    <x v="1"/>
    <x v="5"/>
    <n v="281"/>
    <n v="25"/>
    <n v="7025"/>
    <n v="437.26"/>
    <n v="2095.17"/>
    <s v="Delivered"/>
  </r>
  <r>
    <n v="9088"/>
    <d v="2025-06-28T00:00:00"/>
    <x v="0"/>
    <x v="8"/>
    <x v="2"/>
    <x v="6"/>
    <x v="1"/>
    <x v="8"/>
    <n v="139"/>
    <n v="45"/>
    <n v="6255"/>
    <n v="410.88"/>
    <n v="1808.74"/>
    <s v="Delivered"/>
  </r>
  <r>
    <n v="9089"/>
    <d v="2025-09-20T00:00:00"/>
    <x v="0"/>
    <x v="5"/>
    <x v="0"/>
    <x v="0"/>
    <x v="3"/>
    <x v="9"/>
    <n v="337"/>
    <n v="150"/>
    <n v="50550"/>
    <n v="3845.49"/>
    <n v="10425.25"/>
    <s v="Delivered"/>
  </r>
  <r>
    <n v="9090"/>
    <d v="2025-02-10T00:00:00"/>
    <x v="0"/>
    <x v="7"/>
    <x v="1"/>
    <x v="7"/>
    <x v="0"/>
    <x v="0"/>
    <n v="129"/>
    <n v="350"/>
    <n v="45150"/>
    <n v="3649.38"/>
    <n v="10639.23"/>
    <s v="Delivered"/>
  </r>
  <r>
    <n v="9091"/>
    <d v="2025-01-17T00:00:00"/>
    <x v="0"/>
    <x v="3"/>
    <x v="2"/>
    <x v="5"/>
    <x v="3"/>
    <x v="7"/>
    <n v="53"/>
    <n v="55"/>
    <n v="2915"/>
    <n v="283.3"/>
    <n v="647.24"/>
    <s v="Returned"/>
  </r>
  <r>
    <n v="9092"/>
    <d v="2025-10-20T00:00:00"/>
    <x v="0"/>
    <x v="4"/>
    <x v="1"/>
    <x v="2"/>
    <x v="3"/>
    <x v="7"/>
    <n v="261"/>
    <n v="55"/>
    <n v="14355"/>
    <n v="842.24"/>
    <n v="2836.67"/>
    <s v="Delivered"/>
  </r>
  <r>
    <n v="9093"/>
    <d v="2025-07-25T00:00:00"/>
    <x v="0"/>
    <x v="11"/>
    <x v="1"/>
    <x v="2"/>
    <x v="2"/>
    <x v="4"/>
    <n v="7"/>
    <n v="35"/>
    <n v="245"/>
    <n v="13.33"/>
    <n v="72.489999999999995"/>
    <s v="Returned"/>
  </r>
  <r>
    <n v="9094"/>
    <d v="2025-12-20T00:00:00"/>
    <x v="0"/>
    <x v="10"/>
    <x v="2"/>
    <x v="6"/>
    <x v="3"/>
    <x v="9"/>
    <n v="299"/>
    <n v="150"/>
    <n v="44850"/>
    <n v="2883.6"/>
    <n v="12234.94"/>
    <s v="Returned"/>
  </r>
  <r>
    <n v="9095"/>
    <d v="2025-08-05T00:00:00"/>
    <x v="0"/>
    <x v="1"/>
    <x v="0"/>
    <x v="1"/>
    <x v="0"/>
    <x v="0"/>
    <n v="222"/>
    <n v="350"/>
    <n v="77700"/>
    <n v="4170.7299999999996"/>
    <n v="18756.39"/>
    <s v="Delivered"/>
  </r>
  <r>
    <n v="9096"/>
    <d v="2025-07-17T00:00:00"/>
    <x v="0"/>
    <x v="11"/>
    <x v="1"/>
    <x v="8"/>
    <x v="1"/>
    <x v="5"/>
    <n v="144"/>
    <n v="25"/>
    <n v="3600"/>
    <n v="321.91000000000003"/>
    <n v="676.08"/>
    <s v="Delivered"/>
  </r>
  <r>
    <n v="9097"/>
    <d v="2025-02-21T00:00:00"/>
    <x v="0"/>
    <x v="7"/>
    <x v="1"/>
    <x v="7"/>
    <x v="2"/>
    <x v="6"/>
    <n v="98"/>
    <n v="140"/>
    <n v="13720"/>
    <n v="1014"/>
    <n v="3939.21"/>
    <s v="Returned"/>
  </r>
  <r>
    <n v="9098"/>
    <d v="2025-09-06T00:00:00"/>
    <x v="0"/>
    <x v="5"/>
    <x v="0"/>
    <x v="1"/>
    <x v="1"/>
    <x v="3"/>
    <n v="242"/>
    <n v="60"/>
    <n v="14520"/>
    <n v="1345.24"/>
    <n v="2905.66"/>
    <s v="Delivered"/>
  </r>
  <r>
    <n v="9099"/>
    <d v="2025-08-01T00:00:00"/>
    <x v="0"/>
    <x v="1"/>
    <x v="1"/>
    <x v="7"/>
    <x v="1"/>
    <x v="8"/>
    <n v="63"/>
    <n v="45"/>
    <n v="2835"/>
    <n v="248.41"/>
    <n v="510.84"/>
    <s v="Returned"/>
  </r>
  <r>
    <n v="9100"/>
    <d v="2025-07-15T00:00:00"/>
    <x v="0"/>
    <x v="11"/>
    <x v="2"/>
    <x v="6"/>
    <x v="2"/>
    <x v="4"/>
    <n v="441"/>
    <n v="35"/>
    <n v="15435"/>
    <n v="1398.68"/>
    <n v="2840.33"/>
    <s v="Delivered"/>
  </r>
  <r>
    <n v="9101"/>
    <d v="2025-07-30T00:00:00"/>
    <x v="0"/>
    <x v="11"/>
    <x v="1"/>
    <x v="4"/>
    <x v="2"/>
    <x v="4"/>
    <n v="440"/>
    <n v="35"/>
    <n v="15400"/>
    <n v="1175.8"/>
    <n v="4883.21"/>
    <s v="Delivered"/>
  </r>
  <r>
    <n v="9102"/>
    <d v="2025-04-30T00:00:00"/>
    <x v="0"/>
    <x v="9"/>
    <x v="1"/>
    <x v="8"/>
    <x v="3"/>
    <x v="7"/>
    <n v="435"/>
    <n v="55"/>
    <n v="23925"/>
    <n v="2389.46"/>
    <n v="3596.44"/>
    <s v="Returned"/>
  </r>
  <r>
    <n v="9103"/>
    <d v="2025-10-02T00:00:00"/>
    <x v="0"/>
    <x v="4"/>
    <x v="0"/>
    <x v="1"/>
    <x v="0"/>
    <x v="11"/>
    <n v="460"/>
    <n v="120"/>
    <n v="55200"/>
    <n v="4750.62"/>
    <n v="15281.88"/>
    <s v="Returned"/>
  </r>
  <r>
    <n v="9104"/>
    <d v="2025-08-06T00:00:00"/>
    <x v="0"/>
    <x v="1"/>
    <x v="2"/>
    <x v="3"/>
    <x v="1"/>
    <x v="1"/>
    <n v="379"/>
    <n v="420"/>
    <n v="159180"/>
    <n v="10552.94"/>
    <n v="44050.400000000001"/>
    <s v="Delivered"/>
  </r>
  <r>
    <n v="9105"/>
    <d v="2025-05-10T00:00:00"/>
    <x v="0"/>
    <x v="0"/>
    <x v="1"/>
    <x v="4"/>
    <x v="2"/>
    <x v="6"/>
    <n v="32"/>
    <n v="140"/>
    <n v="4480"/>
    <n v="302.76"/>
    <n v="865.67"/>
    <s v="Returned"/>
  </r>
  <r>
    <n v="9106"/>
    <d v="2025-01-30T00:00:00"/>
    <x v="0"/>
    <x v="3"/>
    <x v="0"/>
    <x v="0"/>
    <x v="1"/>
    <x v="3"/>
    <n v="362"/>
    <n v="60"/>
    <n v="21720"/>
    <n v="2118.5700000000002"/>
    <n v="4927.91"/>
    <s v="Returned"/>
  </r>
  <r>
    <n v="9107"/>
    <d v="2025-10-08T00:00:00"/>
    <x v="0"/>
    <x v="4"/>
    <x v="2"/>
    <x v="5"/>
    <x v="2"/>
    <x v="6"/>
    <n v="56"/>
    <n v="140"/>
    <n v="7840"/>
    <n v="463.14"/>
    <n v="2463.73"/>
    <s v="Delivered"/>
  </r>
  <r>
    <n v="9108"/>
    <d v="2025-01-02T00:00:00"/>
    <x v="0"/>
    <x v="3"/>
    <x v="1"/>
    <x v="2"/>
    <x v="3"/>
    <x v="7"/>
    <n v="426"/>
    <n v="55"/>
    <n v="23430"/>
    <n v="1279.68"/>
    <n v="7707.8"/>
    <s v="Returned"/>
  </r>
  <r>
    <n v="9109"/>
    <d v="2025-11-09T00:00:00"/>
    <x v="0"/>
    <x v="2"/>
    <x v="1"/>
    <x v="2"/>
    <x v="1"/>
    <x v="3"/>
    <n v="295"/>
    <n v="60"/>
    <n v="17700"/>
    <n v="1661.75"/>
    <n v="4136.8100000000004"/>
    <s v="Delivered"/>
  </r>
  <r>
    <n v="9110"/>
    <d v="2025-09-11T00:00:00"/>
    <x v="0"/>
    <x v="5"/>
    <x v="1"/>
    <x v="2"/>
    <x v="0"/>
    <x v="10"/>
    <n v="136"/>
    <n v="300"/>
    <n v="40800"/>
    <n v="2867.36"/>
    <n v="8488.4599999999991"/>
    <s v="Returned"/>
  </r>
  <r>
    <n v="9111"/>
    <d v="2025-02-13T00:00:00"/>
    <x v="0"/>
    <x v="7"/>
    <x v="0"/>
    <x v="1"/>
    <x v="1"/>
    <x v="8"/>
    <n v="466"/>
    <n v="45"/>
    <n v="20970"/>
    <n v="1991.43"/>
    <n v="5973.51"/>
    <s v="Delivered"/>
  </r>
  <r>
    <n v="9112"/>
    <d v="2025-12-25T00:00:00"/>
    <x v="0"/>
    <x v="10"/>
    <x v="1"/>
    <x v="2"/>
    <x v="3"/>
    <x v="9"/>
    <n v="465"/>
    <n v="150"/>
    <n v="69750"/>
    <n v="5301.15"/>
    <n v="21479.06"/>
    <s v="Returned"/>
  </r>
  <r>
    <n v="9113"/>
    <d v="2025-03-08T00:00:00"/>
    <x v="0"/>
    <x v="6"/>
    <x v="1"/>
    <x v="2"/>
    <x v="2"/>
    <x v="6"/>
    <n v="205"/>
    <n v="140"/>
    <n v="28700"/>
    <n v="2457.17"/>
    <n v="6600.78"/>
    <s v="Returned"/>
  </r>
  <r>
    <n v="9114"/>
    <d v="2025-04-03T00:00:00"/>
    <x v="0"/>
    <x v="9"/>
    <x v="1"/>
    <x v="7"/>
    <x v="1"/>
    <x v="1"/>
    <n v="196"/>
    <n v="420"/>
    <n v="82320"/>
    <n v="6614.84"/>
    <n v="26268.12"/>
    <s v="Returned"/>
  </r>
  <r>
    <n v="9115"/>
    <d v="2025-08-29T00:00:00"/>
    <x v="0"/>
    <x v="1"/>
    <x v="0"/>
    <x v="0"/>
    <x v="2"/>
    <x v="4"/>
    <n v="96"/>
    <n v="35"/>
    <n v="3360"/>
    <n v="198.02"/>
    <n v="906.34"/>
    <s v="Returned"/>
  </r>
  <r>
    <n v="9116"/>
    <d v="2025-06-21T00:00:00"/>
    <x v="0"/>
    <x v="8"/>
    <x v="0"/>
    <x v="0"/>
    <x v="2"/>
    <x v="4"/>
    <n v="155"/>
    <n v="35"/>
    <n v="5425"/>
    <n v="332.77"/>
    <n v="1719.46"/>
    <s v="Returned"/>
  </r>
  <r>
    <n v="9117"/>
    <d v="2025-06-01T00:00:00"/>
    <x v="0"/>
    <x v="8"/>
    <x v="1"/>
    <x v="7"/>
    <x v="2"/>
    <x v="4"/>
    <n v="215"/>
    <n v="35"/>
    <n v="7525"/>
    <n v="495.85"/>
    <n v="1468.35"/>
    <s v="Returned"/>
  </r>
  <r>
    <n v="9118"/>
    <d v="2025-09-09T00:00:00"/>
    <x v="0"/>
    <x v="5"/>
    <x v="1"/>
    <x v="4"/>
    <x v="0"/>
    <x v="0"/>
    <n v="110"/>
    <n v="350"/>
    <n v="38500"/>
    <n v="3368.59"/>
    <n v="7106.71"/>
    <s v="Returned"/>
  </r>
  <r>
    <n v="9119"/>
    <d v="2025-08-18T00:00:00"/>
    <x v="0"/>
    <x v="1"/>
    <x v="1"/>
    <x v="7"/>
    <x v="3"/>
    <x v="7"/>
    <n v="71"/>
    <n v="55"/>
    <n v="3905"/>
    <n v="366.77"/>
    <n v="808.95"/>
    <s v="Returned"/>
  </r>
  <r>
    <n v="9120"/>
    <d v="2025-06-13T00:00:00"/>
    <x v="0"/>
    <x v="8"/>
    <x v="1"/>
    <x v="2"/>
    <x v="3"/>
    <x v="9"/>
    <n v="279"/>
    <n v="150"/>
    <n v="41850"/>
    <n v="2304.5500000000002"/>
    <n v="10729.44"/>
    <s v="Delivered"/>
  </r>
  <r>
    <n v="9121"/>
    <d v="2025-07-04T00:00:00"/>
    <x v="0"/>
    <x v="11"/>
    <x v="2"/>
    <x v="6"/>
    <x v="0"/>
    <x v="10"/>
    <n v="105"/>
    <n v="300"/>
    <n v="31500"/>
    <n v="1692.82"/>
    <n v="6419.27"/>
    <s v="Delivered"/>
  </r>
  <r>
    <n v="9122"/>
    <d v="2025-11-24T00:00:00"/>
    <x v="0"/>
    <x v="2"/>
    <x v="0"/>
    <x v="0"/>
    <x v="1"/>
    <x v="5"/>
    <n v="451"/>
    <n v="25"/>
    <n v="11275"/>
    <n v="1057.55"/>
    <n v="2999.93"/>
    <s v="Returned"/>
  </r>
  <r>
    <n v="9123"/>
    <d v="2025-07-23T00:00:00"/>
    <x v="0"/>
    <x v="11"/>
    <x v="1"/>
    <x v="2"/>
    <x v="3"/>
    <x v="12"/>
    <n v="98"/>
    <n v="80"/>
    <n v="7840"/>
    <n v="728.01"/>
    <n v="1972.14"/>
    <s v="Returned"/>
  </r>
  <r>
    <n v="9124"/>
    <d v="2025-07-12T00:00:00"/>
    <x v="0"/>
    <x v="11"/>
    <x v="1"/>
    <x v="4"/>
    <x v="0"/>
    <x v="0"/>
    <n v="340"/>
    <n v="350"/>
    <n v="119000"/>
    <n v="8727.39"/>
    <n v="22532.61"/>
    <s v="Returned"/>
  </r>
  <r>
    <n v="9125"/>
    <d v="2025-04-23T00:00:00"/>
    <x v="0"/>
    <x v="9"/>
    <x v="2"/>
    <x v="5"/>
    <x v="3"/>
    <x v="7"/>
    <n v="269"/>
    <n v="55"/>
    <n v="14795"/>
    <n v="1056.33"/>
    <n v="3522.47"/>
    <s v="Delivered"/>
  </r>
  <r>
    <n v="9126"/>
    <d v="2025-11-27T00:00:00"/>
    <x v="0"/>
    <x v="2"/>
    <x v="2"/>
    <x v="5"/>
    <x v="3"/>
    <x v="7"/>
    <n v="488"/>
    <n v="55"/>
    <n v="26840"/>
    <n v="1816.83"/>
    <n v="6450.37"/>
    <s v="Delivered"/>
  </r>
  <r>
    <n v="9127"/>
    <d v="2025-03-27T00:00:00"/>
    <x v="0"/>
    <x v="6"/>
    <x v="0"/>
    <x v="1"/>
    <x v="0"/>
    <x v="11"/>
    <n v="219"/>
    <n v="120"/>
    <n v="26280"/>
    <n v="1741.26"/>
    <n v="8710.5300000000007"/>
    <s v="Delivered"/>
  </r>
  <r>
    <n v="9128"/>
    <d v="2025-10-15T00:00:00"/>
    <x v="0"/>
    <x v="4"/>
    <x v="2"/>
    <x v="5"/>
    <x v="1"/>
    <x v="8"/>
    <n v="320"/>
    <n v="45"/>
    <n v="14400"/>
    <n v="1139.08"/>
    <n v="2707.6"/>
    <s v="Returned"/>
  </r>
  <r>
    <n v="9129"/>
    <d v="2025-03-31T00:00:00"/>
    <x v="0"/>
    <x v="6"/>
    <x v="0"/>
    <x v="0"/>
    <x v="1"/>
    <x v="3"/>
    <n v="421"/>
    <n v="60"/>
    <n v="25260"/>
    <n v="1834.57"/>
    <n v="7421.45"/>
    <s v="Returned"/>
  </r>
  <r>
    <n v="9130"/>
    <d v="2025-09-19T00:00:00"/>
    <x v="0"/>
    <x v="5"/>
    <x v="0"/>
    <x v="0"/>
    <x v="0"/>
    <x v="11"/>
    <n v="223"/>
    <n v="120"/>
    <n v="26760"/>
    <n v="2436.08"/>
    <n v="5988.92"/>
    <s v="Returned"/>
  </r>
  <r>
    <n v="9131"/>
    <d v="2025-06-18T00:00:00"/>
    <x v="0"/>
    <x v="8"/>
    <x v="0"/>
    <x v="0"/>
    <x v="1"/>
    <x v="5"/>
    <n v="358"/>
    <n v="25"/>
    <n v="8950"/>
    <n v="563.32000000000005"/>
    <n v="1851.76"/>
    <s v="Delivered"/>
  </r>
  <r>
    <n v="9132"/>
    <d v="2025-09-24T00:00:00"/>
    <x v="0"/>
    <x v="5"/>
    <x v="1"/>
    <x v="4"/>
    <x v="3"/>
    <x v="12"/>
    <n v="428"/>
    <n v="80"/>
    <n v="34240"/>
    <n v="1983.35"/>
    <n v="11536.64"/>
    <s v="Delivered"/>
  </r>
  <r>
    <n v="9133"/>
    <d v="2025-09-23T00:00:00"/>
    <x v="0"/>
    <x v="5"/>
    <x v="2"/>
    <x v="3"/>
    <x v="0"/>
    <x v="0"/>
    <n v="235"/>
    <n v="350"/>
    <n v="82250"/>
    <n v="7431.78"/>
    <n v="18088.04"/>
    <s v="Delivered"/>
  </r>
  <r>
    <n v="9134"/>
    <d v="2025-09-14T00:00:00"/>
    <x v="0"/>
    <x v="5"/>
    <x v="0"/>
    <x v="0"/>
    <x v="0"/>
    <x v="0"/>
    <n v="91"/>
    <n v="350"/>
    <n v="31850"/>
    <n v="2742.61"/>
    <n v="6194.82"/>
    <s v="Returned"/>
  </r>
  <r>
    <n v="9135"/>
    <d v="2025-10-31T00:00:00"/>
    <x v="0"/>
    <x v="4"/>
    <x v="1"/>
    <x v="8"/>
    <x v="3"/>
    <x v="9"/>
    <n v="414"/>
    <n v="150"/>
    <n v="62100"/>
    <n v="5504.31"/>
    <n v="17010.54"/>
    <s v="Delivered"/>
  </r>
  <r>
    <n v="9136"/>
    <d v="2025-09-24T00:00:00"/>
    <x v="0"/>
    <x v="5"/>
    <x v="0"/>
    <x v="1"/>
    <x v="0"/>
    <x v="0"/>
    <n v="293"/>
    <n v="350"/>
    <n v="102550"/>
    <n v="9029.49"/>
    <n v="24657.33"/>
    <s v="Returned"/>
  </r>
  <r>
    <n v="9137"/>
    <d v="2025-12-29T00:00:00"/>
    <x v="0"/>
    <x v="10"/>
    <x v="0"/>
    <x v="0"/>
    <x v="3"/>
    <x v="7"/>
    <n v="265"/>
    <n v="55"/>
    <n v="14575"/>
    <n v="1136.6300000000001"/>
    <n v="2717.39"/>
    <s v="Delivered"/>
  </r>
  <r>
    <n v="9138"/>
    <d v="2025-11-13T00:00:00"/>
    <x v="0"/>
    <x v="2"/>
    <x v="0"/>
    <x v="0"/>
    <x v="1"/>
    <x v="5"/>
    <n v="435"/>
    <n v="25"/>
    <n v="10875"/>
    <n v="782.58"/>
    <n v="2765.08"/>
    <s v="Delivered"/>
  </r>
  <r>
    <n v="9139"/>
    <d v="2025-02-24T00:00:00"/>
    <x v="0"/>
    <x v="7"/>
    <x v="1"/>
    <x v="8"/>
    <x v="1"/>
    <x v="2"/>
    <n v="71"/>
    <n v="50"/>
    <n v="3550"/>
    <n v="228.3"/>
    <n v="857.71"/>
    <s v="Delivered"/>
  </r>
  <r>
    <n v="9140"/>
    <d v="2025-09-08T00:00:00"/>
    <x v="0"/>
    <x v="5"/>
    <x v="2"/>
    <x v="6"/>
    <x v="3"/>
    <x v="7"/>
    <n v="435"/>
    <n v="55"/>
    <n v="23925"/>
    <n v="1693.9"/>
    <n v="6642.15"/>
    <s v="Delivered"/>
  </r>
  <r>
    <n v="9141"/>
    <d v="2025-08-14T00:00:00"/>
    <x v="0"/>
    <x v="1"/>
    <x v="0"/>
    <x v="1"/>
    <x v="0"/>
    <x v="0"/>
    <n v="309"/>
    <n v="350"/>
    <n v="108150"/>
    <n v="8087.15"/>
    <n v="33800.980000000003"/>
    <s v="Delivered"/>
  </r>
  <r>
    <n v="9142"/>
    <d v="2025-10-25T00:00:00"/>
    <x v="0"/>
    <x v="4"/>
    <x v="0"/>
    <x v="1"/>
    <x v="1"/>
    <x v="5"/>
    <n v="114"/>
    <n v="25"/>
    <n v="2850"/>
    <n v="179.79"/>
    <n v="803.45"/>
    <s v="Delivered"/>
  </r>
  <r>
    <n v="9143"/>
    <d v="2025-08-03T00:00:00"/>
    <x v="0"/>
    <x v="1"/>
    <x v="1"/>
    <x v="4"/>
    <x v="0"/>
    <x v="11"/>
    <n v="442"/>
    <n v="120"/>
    <n v="53040"/>
    <n v="3437.85"/>
    <n v="15264.48"/>
    <s v="Delivered"/>
  </r>
  <r>
    <n v="9144"/>
    <d v="2025-07-12T00:00:00"/>
    <x v="0"/>
    <x v="11"/>
    <x v="0"/>
    <x v="1"/>
    <x v="2"/>
    <x v="6"/>
    <n v="327"/>
    <n v="140"/>
    <n v="45780"/>
    <n v="4051.65"/>
    <n v="11140.96"/>
    <s v="Returned"/>
  </r>
  <r>
    <n v="9145"/>
    <d v="2025-05-02T00:00:00"/>
    <x v="0"/>
    <x v="0"/>
    <x v="2"/>
    <x v="3"/>
    <x v="1"/>
    <x v="1"/>
    <n v="81"/>
    <n v="420"/>
    <n v="34020"/>
    <n v="2529.4299999999998"/>
    <n v="7255.38"/>
    <s v="Returned"/>
  </r>
  <r>
    <n v="9146"/>
    <d v="2025-07-21T00:00:00"/>
    <x v="0"/>
    <x v="11"/>
    <x v="1"/>
    <x v="8"/>
    <x v="3"/>
    <x v="12"/>
    <n v="455"/>
    <n v="80"/>
    <n v="36400"/>
    <n v="2009.81"/>
    <n v="8845.23"/>
    <s v="Delivered"/>
  </r>
  <r>
    <n v="9147"/>
    <d v="2025-05-31T00:00:00"/>
    <x v="0"/>
    <x v="0"/>
    <x v="1"/>
    <x v="8"/>
    <x v="1"/>
    <x v="8"/>
    <n v="470"/>
    <n v="45"/>
    <n v="21150"/>
    <n v="1620.36"/>
    <n v="3840.81"/>
    <s v="Delivered"/>
  </r>
  <r>
    <n v="9148"/>
    <d v="2025-10-26T00:00:00"/>
    <x v="0"/>
    <x v="4"/>
    <x v="1"/>
    <x v="4"/>
    <x v="1"/>
    <x v="1"/>
    <n v="162"/>
    <n v="420"/>
    <n v="68040"/>
    <n v="6440.46"/>
    <n v="17227.669999999998"/>
    <s v="Delivered"/>
  </r>
  <r>
    <n v="9149"/>
    <d v="2025-07-24T00:00:00"/>
    <x v="0"/>
    <x v="11"/>
    <x v="0"/>
    <x v="1"/>
    <x v="3"/>
    <x v="9"/>
    <n v="409"/>
    <n v="150"/>
    <n v="61350"/>
    <n v="5595.9"/>
    <n v="15244.12"/>
    <s v="Returned"/>
  </r>
  <r>
    <n v="9150"/>
    <d v="2025-03-02T00:00:00"/>
    <x v="0"/>
    <x v="6"/>
    <x v="1"/>
    <x v="4"/>
    <x v="3"/>
    <x v="9"/>
    <n v="10"/>
    <n v="150"/>
    <n v="1500"/>
    <n v="119.62"/>
    <n v="474.98"/>
    <s v="Returned"/>
  </r>
  <r>
    <n v="9151"/>
    <d v="2025-05-04T00:00:00"/>
    <x v="0"/>
    <x v="0"/>
    <x v="1"/>
    <x v="8"/>
    <x v="1"/>
    <x v="2"/>
    <n v="397"/>
    <n v="50"/>
    <n v="19850"/>
    <n v="1097.54"/>
    <n v="3895.61"/>
    <s v="Delivered"/>
  </r>
  <r>
    <n v="9152"/>
    <d v="2025-07-12T00:00:00"/>
    <x v="0"/>
    <x v="11"/>
    <x v="2"/>
    <x v="3"/>
    <x v="3"/>
    <x v="9"/>
    <n v="202"/>
    <n v="150"/>
    <n v="30300"/>
    <n v="2907.52"/>
    <n v="9188.2800000000007"/>
    <s v="Delivered"/>
  </r>
  <r>
    <n v="9153"/>
    <d v="2025-06-29T00:00:00"/>
    <x v="0"/>
    <x v="8"/>
    <x v="1"/>
    <x v="2"/>
    <x v="1"/>
    <x v="1"/>
    <n v="475"/>
    <n v="420"/>
    <n v="199500"/>
    <n v="13182.39"/>
    <n v="62699.44"/>
    <s v="Delivered"/>
  </r>
  <r>
    <n v="9154"/>
    <d v="2025-10-29T00:00:00"/>
    <x v="0"/>
    <x v="4"/>
    <x v="2"/>
    <x v="3"/>
    <x v="1"/>
    <x v="8"/>
    <n v="212"/>
    <n v="45"/>
    <n v="9540"/>
    <n v="518.5"/>
    <n v="2336.89"/>
    <s v="Delivered"/>
  </r>
  <r>
    <n v="9155"/>
    <d v="2025-01-13T00:00:00"/>
    <x v="0"/>
    <x v="3"/>
    <x v="0"/>
    <x v="0"/>
    <x v="0"/>
    <x v="0"/>
    <n v="18"/>
    <n v="350"/>
    <n v="6300"/>
    <n v="511.39"/>
    <n v="1623.65"/>
    <s v="Returned"/>
  </r>
  <r>
    <n v="9156"/>
    <d v="2025-01-14T00:00:00"/>
    <x v="0"/>
    <x v="3"/>
    <x v="2"/>
    <x v="5"/>
    <x v="3"/>
    <x v="9"/>
    <n v="103"/>
    <n v="150"/>
    <n v="15450"/>
    <n v="1281.05"/>
    <n v="4511.29"/>
    <s v="Delivered"/>
  </r>
  <r>
    <n v="9157"/>
    <d v="2025-04-17T00:00:00"/>
    <x v="0"/>
    <x v="9"/>
    <x v="2"/>
    <x v="5"/>
    <x v="2"/>
    <x v="6"/>
    <n v="45"/>
    <n v="140"/>
    <n v="6300"/>
    <n v="619.74"/>
    <n v="1281.6600000000001"/>
    <s v="Delivered"/>
  </r>
  <r>
    <n v="9158"/>
    <d v="2025-06-03T00:00:00"/>
    <x v="0"/>
    <x v="8"/>
    <x v="0"/>
    <x v="1"/>
    <x v="0"/>
    <x v="11"/>
    <n v="195"/>
    <n v="120"/>
    <n v="23400"/>
    <n v="1543.85"/>
    <n v="7619.25"/>
    <s v="Delivered"/>
  </r>
  <r>
    <n v="9159"/>
    <d v="2025-12-10T00:00:00"/>
    <x v="0"/>
    <x v="10"/>
    <x v="1"/>
    <x v="8"/>
    <x v="0"/>
    <x v="10"/>
    <n v="479"/>
    <n v="300"/>
    <n v="143700"/>
    <n v="9086.2999999999993"/>
    <n v="32766.79"/>
    <s v="Returned"/>
  </r>
  <r>
    <n v="9160"/>
    <d v="2025-03-02T00:00:00"/>
    <x v="0"/>
    <x v="6"/>
    <x v="1"/>
    <x v="7"/>
    <x v="1"/>
    <x v="8"/>
    <n v="43"/>
    <n v="45"/>
    <n v="1935"/>
    <n v="124.28"/>
    <n v="420.91"/>
    <s v="Delivered"/>
  </r>
  <r>
    <n v="9161"/>
    <d v="2025-06-18T00:00:00"/>
    <x v="0"/>
    <x v="8"/>
    <x v="0"/>
    <x v="0"/>
    <x v="3"/>
    <x v="9"/>
    <n v="52"/>
    <n v="150"/>
    <n v="7800"/>
    <n v="737.63"/>
    <n v="1305.47"/>
    <s v="Delivered"/>
  </r>
  <r>
    <n v="9162"/>
    <d v="2025-12-09T00:00:00"/>
    <x v="0"/>
    <x v="10"/>
    <x v="1"/>
    <x v="4"/>
    <x v="1"/>
    <x v="8"/>
    <n v="9"/>
    <n v="45"/>
    <n v="405"/>
    <n v="27.49"/>
    <n v="114.09"/>
    <s v="Returned"/>
  </r>
  <r>
    <n v="9163"/>
    <d v="2025-04-06T00:00:00"/>
    <x v="0"/>
    <x v="9"/>
    <x v="1"/>
    <x v="2"/>
    <x v="3"/>
    <x v="7"/>
    <n v="399"/>
    <n v="55"/>
    <n v="21945"/>
    <n v="1829.57"/>
    <n v="4712.6099999999997"/>
    <s v="Returned"/>
  </r>
  <r>
    <n v="9164"/>
    <d v="2025-11-23T00:00:00"/>
    <x v="0"/>
    <x v="2"/>
    <x v="1"/>
    <x v="2"/>
    <x v="1"/>
    <x v="3"/>
    <n v="165"/>
    <n v="60"/>
    <n v="9900"/>
    <n v="687.58"/>
    <n v="2190.19"/>
    <s v="Returned"/>
  </r>
  <r>
    <n v="9165"/>
    <d v="2025-08-18T00:00:00"/>
    <x v="0"/>
    <x v="1"/>
    <x v="1"/>
    <x v="7"/>
    <x v="3"/>
    <x v="7"/>
    <n v="441"/>
    <n v="55"/>
    <n v="24255"/>
    <n v="2113.27"/>
    <n v="7463.21"/>
    <s v="Delivered"/>
  </r>
  <r>
    <n v="9166"/>
    <d v="2025-08-29T00:00:00"/>
    <x v="0"/>
    <x v="1"/>
    <x v="2"/>
    <x v="3"/>
    <x v="1"/>
    <x v="8"/>
    <n v="295"/>
    <n v="45"/>
    <n v="13275"/>
    <n v="956.36"/>
    <n v="4102.7299999999996"/>
    <s v="Returned"/>
  </r>
  <r>
    <n v="9167"/>
    <d v="2025-02-15T00:00:00"/>
    <x v="0"/>
    <x v="7"/>
    <x v="2"/>
    <x v="3"/>
    <x v="1"/>
    <x v="1"/>
    <n v="261"/>
    <n v="420"/>
    <n v="109620"/>
    <n v="9761.64"/>
    <n v="27672.5"/>
    <s v="Delivered"/>
  </r>
  <r>
    <n v="9168"/>
    <d v="2025-03-19T00:00:00"/>
    <x v="0"/>
    <x v="6"/>
    <x v="1"/>
    <x v="4"/>
    <x v="1"/>
    <x v="3"/>
    <n v="276"/>
    <n v="60"/>
    <n v="16560"/>
    <n v="1176.68"/>
    <n v="3470.05"/>
    <s v="Delivered"/>
  </r>
  <r>
    <n v="9169"/>
    <d v="2025-06-12T00:00:00"/>
    <x v="0"/>
    <x v="8"/>
    <x v="1"/>
    <x v="2"/>
    <x v="0"/>
    <x v="0"/>
    <n v="388"/>
    <n v="350"/>
    <n v="135800"/>
    <n v="10105.85"/>
    <n v="27947.360000000001"/>
    <s v="Delivered"/>
  </r>
  <r>
    <n v="9170"/>
    <d v="2025-01-18T00:00:00"/>
    <x v="0"/>
    <x v="3"/>
    <x v="2"/>
    <x v="3"/>
    <x v="3"/>
    <x v="12"/>
    <n v="448"/>
    <n v="80"/>
    <n v="35840"/>
    <n v="3236.15"/>
    <n v="6900.93"/>
    <s v="Delivered"/>
  </r>
  <r>
    <n v="9171"/>
    <d v="2025-05-09T00:00:00"/>
    <x v="0"/>
    <x v="0"/>
    <x v="2"/>
    <x v="6"/>
    <x v="1"/>
    <x v="5"/>
    <n v="260"/>
    <n v="25"/>
    <n v="6500"/>
    <n v="445.04"/>
    <n v="2063.81"/>
    <s v="Returned"/>
  </r>
  <r>
    <n v="9172"/>
    <d v="2025-12-20T00:00:00"/>
    <x v="0"/>
    <x v="10"/>
    <x v="2"/>
    <x v="3"/>
    <x v="0"/>
    <x v="0"/>
    <n v="426"/>
    <n v="350"/>
    <n v="149100"/>
    <n v="8651.59"/>
    <n v="30081.52"/>
    <s v="Returned"/>
  </r>
  <r>
    <n v="9173"/>
    <d v="2025-10-11T00:00:00"/>
    <x v="0"/>
    <x v="4"/>
    <x v="1"/>
    <x v="2"/>
    <x v="1"/>
    <x v="1"/>
    <n v="111"/>
    <n v="420"/>
    <n v="46620"/>
    <n v="3699.94"/>
    <n v="8870.92"/>
    <s v="Returned"/>
  </r>
  <r>
    <n v="9174"/>
    <d v="2025-09-06T00:00:00"/>
    <x v="0"/>
    <x v="5"/>
    <x v="2"/>
    <x v="6"/>
    <x v="1"/>
    <x v="2"/>
    <n v="250"/>
    <n v="50"/>
    <n v="12500"/>
    <n v="1022.8"/>
    <n v="2529.5100000000002"/>
    <s v="Delivered"/>
  </r>
  <r>
    <n v="9175"/>
    <d v="2025-09-04T00:00:00"/>
    <x v="0"/>
    <x v="5"/>
    <x v="1"/>
    <x v="2"/>
    <x v="1"/>
    <x v="2"/>
    <n v="185"/>
    <n v="50"/>
    <n v="9250"/>
    <n v="639.94000000000005"/>
    <n v="1904.1"/>
    <s v="Returned"/>
  </r>
  <r>
    <n v="9176"/>
    <d v="2025-10-03T00:00:00"/>
    <x v="0"/>
    <x v="4"/>
    <x v="0"/>
    <x v="1"/>
    <x v="0"/>
    <x v="11"/>
    <n v="173"/>
    <n v="120"/>
    <n v="20760"/>
    <n v="1333.23"/>
    <n v="4736.3900000000003"/>
    <s v="Returned"/>
  </r>
  <r>
    <n v="9177"/>
    <d v="2025-07-24T00:00:00"/>
    <x v="0"/>
    <x v="11"/>
    <x v="0"/>
    <x v="1"/>
    <x v="1"/>
    <x v="1"/>
    <n v="313"/>
    <n v="420"/>
    <n v="131460"/>
    <n v="10668.99"/>
    <n v="27303.75"/>
    <s v="Returned"/>
  </r>
  <r>
    <n v="9178"/>
    <d v="2025-02-20T00:00:00"/>
    <x v="0"/>
    <x v="7"/>
    <x v="1"/>
    <x v="7"/>
    <x v="0"/>
    <x v="10"/>
    <n v="154"/>
    <n v="300"/>
    <n v="46200"/>
    <n v="3096.38"/>
    <n v="12117.57"/>
    <s v="Delivered"/>
  </r>
  <r>
    <n v="9179"/>
    <d v="2025-02-28T00:00:00"/>
    <x v="0"/>
    <x v="7"/>
    <x v="2"/>
    <x v="3"/>
    <x v="0"/>
    <x v="10"/>
    <n v="9"/>
    <n v="300"/>
    <n v="2700"/>
    <n v="201.83"/>
    <n v="772.97"/>
    <s v="Returned"/>
  </r>
  <r>
    <n v="9180"/>
    <d v="2025-10-17T00:00:00"/>
    <x v="0"/>
    <x v="4"/>
    <x v="2"/>
    <x v="5"/>
    <x v="1"/>
    <x v="5"/>
    <n v="87"/>
    <n v="25"/>
    <n v="2175"/>
    <n v="181.86"/>
    <n v="368.82"/>
    <s v="Delivered"/>
  </r>
  <r>
    <n v="9181"/>
    <d v="2025-04-22T00:00:00"/>
    <x v="0"/>
    <x v="9"/>
    <x v="2"/>
    <x v="3"/>
    <x v="3"/>
    <x v="12"/>
    <n v="65"/>
    <n v="80"/>
    <n v="5200"/>
    <n v="398.17"/>
    <n v="913.46"/>
    <s v="Returned"/>
  </r>
  <r>
    <n v="9182"/>
    <d v="2025-01-09T00:00:00"/>
    <x v="0"/>
    <x v="3"/>
    <x v="1"/>
    <x v="4"/>
    <x v="3"/>
    <x v="9"/>
    <n v="462"/>
    <n v="150"/>
    <n v="69300"/>
    <n v="5864.54"/>
    <n v="21448.11"/>
    <s v="Delivered"/>
  </r>
  <r>
    <n v="9183"/>
    <d v="2025-01-12T00:00:00"/>
    <x v="0"/>
    <x v="3"/>
    <x v="0"/>
    <x v="1"/>
    <x v="1"/>
    <x v="1"/>
    <n v="137"/>
    <n v="420"/>
    <n v="57540"/>
    <n v="3996.08"/>
    <n v="18729.87"/>
    <s v="Returned"/>
  </r>
  <r>
    <n v="9184"/>
    <d v="2025-03-19T00:00:00"/>
    <x v="0"/>
    <x v="6"/>
    <x v="1"/>
    <x v="8"/>
    <x v="0"/>
    <x v="0"/>
    <n v="383"/>
    <n v="350"/>
    <n v="134050"/>
    <n v="8014.24"/>
    <n v="25636.2"/>
    <s v="Returned"/>
  </r>
  <r>
    <n v="9185"/>
    <d v="2025-04-06T00:00:00"/>
    <x v="0"/>
    <x v="9"/>
    <x v="1"/>
    <x v="4"/>
    <x v="0"/>
    <x v="10"/>
    <n v="30"/>
    <n v="300"/>
    <n v="9000"/>
    <n v="723.79"/>
    <n v="2727.5"/>
    <s v="Delivered"/>
  </r>
  <r>
    <n v="9186"/>
    <d v="2025-07-05T00:00:00"/>
    <x v="0"/>
    <x v="11"/>
    <x v="0"/>
    <x v="1"/>
    <x v="3"/>
    <x v="12"/>
    <n v="282"/>
    <n v="80"/>
    <n v="22560"/>
    <n v="1441.73"/>
    <n v="7170.59"/>
    <s v="Returned"/>
  </r>
  <r>
    <n v="9187"/>
    <d v="2025-08-31T00:00:00"/>
    <x v="0"/>
    <x v="1"/>
    <x v="2"/>
    <x v="5"/>
    <x v="1"/>
    <x v="5"/>
    <n v="37"/>
    <n v="25"/>
    <n v="925"/>
    <n v="49.69"/>
    <n v="263.56"/>
    <s v="Returned"/>
  </r>
  <r>
    <n v="9188"/>
    <d v="2025-07-20T00:00:00"/>
    <x v="0"/>
    <x v="11"/>
    <x v="1"/>
    <x v="4"/>
    <x v="0"/>
    <x v="0"/>
    <n v="349"/>
    <n v="350"/>
    <n v="122150"/>
    <n v="11336.86"/>
    <n v="26584.51"/>
    <s v="Returned"/>
  </r>
  <r>
    <n v="9189"/>
    <d v="2025-10-09T00:00:00"/>
    <x v="0"/>
    <x v="4"/>
    <x v="1"/>
    <x v="2"/>
    <x v="3"/>
    <x v="7"/>
    <n v="204"/>
    <n v="55"/>
    <n v="11220"/>
    <n v="1109.03"/>
    <n v="3230.21"/>
    <s v="Returned"/>
  </r>
  <r>
    <n v="9190"/>
    <d v="2025-01-15T00:00:00"/>
    <x v="0"/>
    <x v="3"/>
    <x v="2"/>
    <x v="5"/>
    <x v="0"/>
    <x v="10"/>
    <n v="236"/>
    <n v="300"/>
    <n v="70800"/>
    <n v="6711.96"/>
    <n v="11685.99"/>
    <s v="Delivered"/>
  </r>
  <r>
    <n v="9191"/>
    <d v="2025-12-27T00:00:00"/>
    <x v="0"/>
    <x v="10"/>
    <x v="2"/>
    <x v="3"/>
    <x v="0"/>
    <x v="11"/>
    <n v="466"/>
    <n v="120"/>
    <n v="55920"/>
    <n v="3342.22"/>
    <n v="11469.36"/>
    <s v="Delivered"/>
  </r>
  <r>
    <n v="9192"/>
    <d v="2025-06-30T00:00:00"/>
    <x v="0"/>
    <x v="8"/>
    <x v="1"/>
    <x v="4"/>
    <x v="1"/>
    <x v="1"/>
    <n v="17"/>
    <n v="420"/>
    <n v="7140"/>
    <n v="454.08"/>
    <n v="1358.7"/>
    <s v="Returned"/>
  </r>
  <r>
    <n v="9193"/>
    <d v="2025-02-05T00:00:00"/>
    <x v="0"/>
    <x v="7"/>
    <x v="2"/>
    <x v="6"/>
    <x v="2"/>
    <x v="6"/>
    <n v="298"/>
    <n v="140"/>
    <n v="41720"/>
    <n v="2487.11"/>
    <n v="13353.45"/>
    <s v="Delivered"/>
  </r>
  <r>
    <n v="9194"/>
    <d v="2025-05-29T00:00:00"/>
    <x v="0"/>
    <x v="0"/>
    <x v="1"/>
    <x v="8"/>
    <x v="1"/>
    <x v="5"/>
    <n v="353"/>
    <n v="25"/>
    <n v="8825"/>
    <n v="781.4"/>
    <n v="2637.16"/>
    <s v="Delivered"/>
  </r>
  <r>
    <n v="9195"/>
    <d v="2025-06-11T00:00:00"/>
    <x v="0"/>
    <x v="8"/>
    <x v="0"/>
    <x v="0"/>
    <x v="1"/>
    <x v="5"/>
    <n v="255"/>
    <n v="25"/>
    <n v="6375"/>
    <n v="509.26"/>
    <n v="1620.17"/>
    <s v="Returned"/>
  </r>
  <r>
    <n v="9196"/>
    <d v="2025-01-30T00:00:00"/>
    <x v="0"/>
    <x v="3"/>
    <x v="1"/>
    <x v="2"/>
    <x v="0"/>
    <x v="0"/>
    <n v="248"/>
    <n v="350"/>
    <n v="86800"/>
    <n v="6989.3"/>
    <n v="19202.150000000001"/>
    <s v="Delivered"/>
  </r>
  <r>
    <n v="9197"/>
    <d v="2025-12-18T00:00:00"/>
    <x v="0"/>
    <x v="10"/>
    <x v="0"/>
    <x v="0"/>
    <x v="1"/>
    <x v="3"/>
    <n v="422"/>
    <n v="60"/>
    <n v="25320"/>
    <n v="2264.9899999999998"/>
    <n v="6868.72"/>
    <s v="Delivered"/>
  </r>
  <r>
    <n v="9198"/>
    <d v="2025-05-23T00:00:00"/>
    <x v="0"/>
    <x v="0"/>
    <x v="1"/>
    <x v="2"/>
    <x v="3"/>
    <x v="7"/>
    <n v="156"/>
    <n v="55"/>
    <n v="8580"/>
    <n v="561.22"/>
    <n v="2043.17"/>
    <s v="Delivered"/>
  </r>
  <r>
    <n v="9199"/>
    <d v="2025-05-19T00:00:00"/>
    <x v="0"/>
    <x v="0"/>
    <x v="1"/>
    <x v="4"/>
    <x v="1"/>
    <x v="8"/>
    <n v="163"/>
    <n v="45"/>
    <n v="7335"/>
    <n v="675.48"/>
    <n v="1331.06"/>
    <s v="Delivered"/>
  </r>
  <r>
    <n v="9200"/>
    <d v="2025-12-29T00:00:00"/>
    <x v="0"/>
    <x v="10"/>
    <x v="0"/>
    <x v="0"/>
    <x v="1"/>
    <x v="5"/>
    <n v="198"/>
    <n v="25"/>
    <n v="4950"/>
    <n v="367.47"/>
    <n v="1049.94"/>
    <s v="Returned"/>
  </r>
  <r>
    <n v="9201"/>
    <d v="2025-11-13T00:00:00"/>
    <x v="0"/>
    <x v="2"/>
    <x v="2"/>
    <x v="5"/>
    <x v="2"/>
    <x v="6"/>
    <n v="359"/>
    <n v="140"/>
    <n v="50260"/>
    <n v="3647.22"/>
    <n v="9767.7800000000007"/>
    <s v="Returned"/>
  </r>
  <r>
    <n v="9202"/>
    <d v="2025-11-28T00:00:00"/>
    <x v="0"/>
    <x v="2"/>
    <x v="2"/>
    <x v="3"/>
    <x v="1"/>
    <x v="2"/>
    <n v="401"/>
    <n v="50"/>
    <n v="20050"/>
    <n v="1278.42"/>
    <n v="5582.87"/>
    <s v="Returned"/>
  </r>
  <r>
    <n v="9203"/>
    <d v="2025-02-18T00:00:00"/>
    <x v="0"/>
    <x v="7"/>
    <x v="2"/>
    <x v="3"/>
    <x v="1"/>
    <x v="1"/>
    <n v="372"/>
    <n v="420"/>
    <n v="156240"/>
    <n v="8238.85"/>
    <n v="38397.94"/>
    <s v="Returned"/>
  </r>
  <r>
    <n v="9204"/>
    <d v="2025-01-16T00:00:00"/>
    <x v="0"/>
    <x v="3"/>
    <x v="0"/>
    <x v="0"/>
    <x v="0"/>
    <x v="0"/>
    <n v="296"/>
    <n v="350"/>
    <n v="103600"/>
    <n v="7603.26"/>
    <n v="22558"/>
    <s v="Returned"/>
  </r>
  <r>
    <n v="9205"/>
    <d v="2025-08-06T00:00:00"/>
    <x v="0"/>
    <x v="1"/>
    <x v="1"/>
    <x v="8"/>
    <x v="0"/>
    <x v="11"/>
    <n v="155"/>
    <n v="120"/>
    <n v="18600"/>
    <n v="1841.01"/>
    <n v="5521.03"/>
    <s v="Returned"/>
  </r>
  <r>
    <n v="9206"/>
    <d v="2025-06-29T00:00:00"/>
    <x v="0"/>
    <x v="8"/>
    <x v="0"/>
    <x v="0"/>
    <x v="1"/>
    <x v="5"/>
    <n v="310"/>
    <n v="25"/>
    <n v="7750"/>
    <n v="574.62"/>
    <n v="1695.75"/>
    <s v="Delivered"/>
  </r>
  <r>
    <n v="9207"/>
    <d v="2025-09-14T00:00:00"/>
    <x v="0"/>
    <x v="5"/>
    <x v="2"/>
    <x v="5"/>
    <x v="3"/>
    <x v="7"/>
    <n v="124"/>
    <n v="55"/>
    <n v="6820"/>
    <n v="548.97"/>
    <n v="1789.38"/>
    <s v="Delivered"/>
  </r>
  <r>
    <n v="9208"/>
    <d v="2025-05-31T00:00:00"/>
    <x v="0"/>
    <x v="0"/>
    <x v="1"/>
    <x v="7"/>
    <x v="0"/>
    <x v="0"/>
    <n v="23"/>
    <n v="350"/>
    <n v="8050"/>
    <n v="693.96"/>
    <n v="2282.13"/>
    <s v="Delivered"/>
  </r>
  <r>
    <n v="9209"/>
    <d v="2025-10-21T00:00:00"/>
    <x v="0"/>
    <x v="4"/>
    <x v="1"/>
    <x v="8"/>
    <x v="0"/>
    <x v="0"/>
    <n v="50"/>
    <n v="350"/>
    <n v="17500"/>
    <n v="1164.8499999999999"/>
    <n v="3831.52"/>
    <s v="Delivered"/>
  </r>
  <r>
    <n v="9210"/>
    <d v="2025-03-05T00:00:00"/>
    <x v="0"/>
    <x v="6"/>
    <x v="1"/>
    <x v="8"/>
    <x v="1"/>
    <x v="3"/>
    <n v="372"/>
    <n v="60"/>
    <n v="22320"/>
    <n v="1163.99"/>
    <n v="7194.56"/>
    <s v="Returned"/>
  </r>
  <r>
    <n v="9211"/>
    <d v="2025-05-27T00:00:00"/>
    <x v="0"/>
    <x v="0"/>
    <x v="2"/>
    <x v="3"/>
    <x v="1"/>
    <x v="5"/>
    <n v="131"/>
    <n v="25"/>
    <n v="3275"/>
    <n v="167.06"/>
    <n v="835.01"/>
    <s v="Delivered"/>
  </r>
  <r>
    <n v="9212"/>
    <d v="2025-03-09T00:00:00"/>
    <x v="0"/>
    <x v="6"/>
    <x v="1"/>
    <x v="8"/>
    <x v="0"/>
    <x v="11"/>
    <n v="448"/>
    <n v="120"/>
    <n v="53760"/>
    <n v="4466.25"/>
    <n v="14438.66"/>
    <s v="Returned"/>
  </r>
  <r>
    <n v="9213"/>
    <d v="2025-01-13T00:00:00"/>
    <x v="0"/>
    <x v="3"/>
    <x v="1"/>
    <x v="7"/>
    <x v="3"/>
    <x v="12"/>
    <n v="500"/>
    <n v="80"/>
    <n v="40000"/>
    <n v="2951.53"/>
    <n v="7290.02"/>
    <s v="Returned"/>
  </r>
  <r>
    <n v="9214"/>
    <d v="2025-01-23T00:00:00"/>
    <x v="0"/>
    <x v="3"/>
    <x v="0"/>
    <x v="1"/>
    <x v="1"/>
    <x v="2"/>
    <n v="395"/>
    <n v="50"/>
    <n v="19750"/>
    <n v="1769.29"/>
    <n v="5590.42"/>
    <s v="Returned"/>
  </r>
  <r>
    <n v="9215"/>
    <d v="2025-06-21T00:00:00"/>
    <x v="0"/>
    <x v="8"/>
    <x v="2"/>
    <x v="6"/>
    <x v="1"/>
    <x v="1"/>
    <n v="39"/>
    <n v="420"/>
    <n v="16380"/>
    <n v="1605.82"/>
    <n v="3038.22"/>
    <s v="Returned"/>
  </r>
  <r>
    <n v="9216"/>
    <d v="2025-12-12T00:00:00"/>
    <x v="0"/>
    <x v="10"/>
    <x v="2"/>
    <x v="6"/>
    <x v="3"/>
    <x v="9"/>
    <n v="37"/>
    <n v="150"/>
    <n v="5550"/>
    <n v="484.86"/>
    <n v="1048.1600000000001"/>
    <s v="Returned"/>
  </r>
  <r>
    <n v="9217"/>
    <d v="2025-02-09T00:00:00"/>
    <x v="0"/>
    <x v="7"/>
    <x v="2"/>
    <x v="5"/>
    <x v="1"/>
    <x v="1"/>
    <n v="86"/>
    <n v="420"/>
    <n v="36120"/>
    <n v="3067.74"/>
    <n v="11360.16"/>
    <s v="Returned"/>
  </r>
  <r>
    <n v="9218"/>
    <d v="2025-04-06T00:00:00"/>
    <x v="0"/>
    <x v="9"/>
    <x v="0"/>
    <x v="1"/>
    <x v="2"/>
    <x v="4"/>
    <n v="287"/>
    <n v="35"/>
    <n v="10045"/>
    <n v="659.57"/>
    <n v="1967.08"/>
    <s v="Returned"/>
  </r>
  <r>
    <n v="9219"/>
    <d v="2025-10-01T00:00:00"/>
    <x v="0"/>
    <x v="4"/>
    <x v="0"/>
    <x v="0"/>
    <x v="2"/>
    <x v="6"/>
    <n v="395"/>
    <n v="140"/>
    <n v="55300"/>
    <n v="3502.96"/>
    <n v="17374.87"/>
    <s v="Delivered"/>
  </r>
  <r>
    <n v="9220"/>
    <d v="2025-01-14T00:00:00"/>
    <x v="0"/>
    <x v="3"/>
    <x v="2"/>
    <x v="6"/>
    <x v="1"/>
    <x v="8"/>
    <n v="381"/>
    <n v="45"/>
    <n v="17145"/>
    <n v="971.07"/>
    <n v="5843.37"/>
    <s v="Returned"/>
  </r>
  <r>
    <n v="9221"/>
    <d v="2025-08-25T00:00:00"/>
    <x v="0"/>
    <x v="1"/>
    <x v="0"/>
    <x v="1"/>
    <x v="1"/>
    <x v="2"/>
    <n v="298"/>
    <n v="50"/>
    <n v="14900"/>
    <n v="1354.64"/>
    <n v="2967.69"/>
    <s v="Returned"/>
  </r>
  <r>
    <n v="9222"/>
    <d v="2025-11-28T00:00:00"/>
    <x v="0"/>
    <x v="2"/>
    <x v="1"/>
    <x v="2"/>
    <x v="0"/>
    <x v="0"/>
    <n v="500"/>
    <n v="350"/>
    <n v="175000"/>
    <n v="11898.36"/>
    <n v="43683.75"/>
    <s v="Delivered"/>
  </r>
  <r>
    <n v="9223"/>
    <d v="2025-01-03T00:00:00"/>
    <x v="0"/>
    <x v="3"/>
    <x v="1"/>
    <x v="7"/>
    <x v="2"/>
    <x v="6"/>
    <n v="424"/>
    <n v="140"/>
    <n v="59360"/>
    <n v="3144.39"/>
    <n v="18119.810000000001"/>
    <s v="Delivered"/>
  </r>
  <r>
    <n v="9224"/>
    <d v="2025-12-26T00:00:00"/>
    <x v="0"/>
    <x v="10"/>
    <x v="1"/>
    <x v="4"/>
    <x v="2"/>
    <x v="4"/>
    <n v="365"/>
    <n v="35"/>
    <n v="12775"/>
    <n v="692.2"/>
    <n v="2654.26"/>
    <s v="Delivered"/>
  </r>
  <r>
    <n v="9225"/>
    <d v="2025-03-17T00:00:00"/>
    <x v="0"/>
    <x v="6"/>
    <x v="1"/>
    <x v="2"/>
    <x v="1"/>
    <x v="8"/>
    <n v="432"/>
    <n v="45"/>
    <n v="19440"/>
    <n v="1704.97"/>
    <n v="5662.47"/>
    <s v="Delivered"/>
  </r>
  <r>
    <n v="9226"/>
    <d v="2025-08-26T00:00:00"/>
    <x v="0"/>
    <x v="1"/>
    <x v="1"/>
    <x v="2"/>
    <x v="2"/>
    <x v="6"/>
    <n v="300"/>
    <n v="140"/>
    <n v="42000"/>
    <n v="2778.79"/>
    <n v="9829.64"/>
    <s v="Returned"/>
  </r>
  <r>
    <n v="9227"/>
    <d v="2025-10-01T00:00:00"/>
    <x v="0"/>
    <x v="4"/>
    <x v="1"/>
    <x v="4"/>
    <x v="1"/>
    <x v="3"/>
    <n v="89"/>
    <n v="60"/>
    <n v="5340"/>
    <n v="326.39"/>
    <n v="1594.25"/>
    <s v="Returned"/>
  </r>
  <r>
    <n v="9228"/>
    <d v="2025-11-20T00:00:00"/>
    <x v="0"/>
    <x v="2"/>
    <x v="1"/>
    <x v="4"/>
    <x v="1"/>
    <x v="1"/>
    <n v="120"/>
    <n v="420"/>
    <n v="50400"/>
    <n v="2740.65"/>
    <n v="12305.69"/>
    <s v="Delivered"/>
  </r>
  <r>
    <n v="9229"/>
    <d v="2025-08-24T00:00:00"/>
    <x v="0"/>
    <x v="1"/>
    <x v="0"/>
    <x v="1"/>
    <x v="1"/>
    <x v="3"/>
    <n v="38"/>
    <n v="60"/>
    <n v="2280"/>
    <n v="132.1"/>
    <n v="621.94000000000005"/>
    <s v="Returned"/>
  </r>
  <r>
    <n v="9230"/>
    <d v="2025-09-03T00:00:00"/>
    <x v="0"/>
    <x v="5"/>
    <x v="2"/>
    <x v="3"/>
    <x v="0"/>
    <x v="10"/>
    <n v="235"/>
    <n v="300"/>
    <n v="70500"/>
    <n v="5504.83"/>
    <n v="21586.47"/>
    <s v="Returned"/>
  </r>
  <r>
    <n v="9231"/>
    <d v="2025-08-04T00:00:00"/>
    <x v="0"/>
    <x v="1"/>
    <x v="1"/>
    <x v="8"/>
    <x v="1"/>
    <x v="3"/>
    <n v="210"/>
    <n v="60"/>
    <n v="12600"/>
    <n v="969.23"/>
    <n v="2720.76"/>
    <s v="Delivered"/>
  </r>
  <r>
    <n v="9232"/>
    <d v="2025-01-15T00:00:00"/>
    <x v="0"/>
    <x v="3"/>
    <x v="2"/>
    <x v="3"/>
    <x v="0"/>
    <x v="11"/>
    <n v="202"/>
    <n v="120"/>
    <n v="24240"/>
    <n v="2164.02"/>
    <n v="4728.84"/>
    <s v="Returned"/>
  </r>
  <r>
    <n v="9233"/>
    <d v="2025-02-21T00:00:00"/>
    <x v="0"/>
    <x v="7"/>
    <x v="0"/>
    <x v="1"/>
    <x v="1"/>
    <x v="3"/>
    <n v="417"/>
    <n v="60"/>
    <n v="25020"/>
    <n v="1368.69"/>
    <n v="6616.83"/>
    <s v="Delivered"/>
  </r>
  <r>
    <n v="9234"/>
    <d v="2025-06-28T00:00:00"/>
    <x v="0"/>
    <x v="8"/>
    <x v="1"/>
    <x v="8"/>
    <x v="3"/>
    <x v="9"/>
    <n v="84"/>
    <n v="150"/>
    <n v="12600"/>
    <n v="1100.68"/>
    <n v="3903.42"/>
    <s v="Delivered"/>
  </r>
  <r>
    <n v="9235"/>
    <d v="2025-12-17T00:00:00"/>
    <x v="0"/>
    <x v="10"/>
    <x v="2"/>
    <x v="3"/>
    <x v="3"/>
    <x v="12"/>
    <n v="122"/>
    <n v="80"/>
    <n v="9760"/>
    <n v="909.2"/>
    <n v="2566.91"/>
    <s v="Returned"/>
  </r>
  <r>
    <n v="9236"/>
    <d v="2025-05-19T00:00:00"/>
    <x v="0"/>
    <x v="0"/>
    <x v="2"/>
    <x v="3"/>
    <x v="1"/>
    <x v="1"/>
    <n v="326"/>
    <n v="420"/>
    <n v="136920"/>
    <n v="7724.94"/>
    <n v="34201.89"/>
    <s v="Returned"/>
  </r>
  <r>
    <n v="9237"/>
    <d v="2025-12-20T00:00:00"/>
    <x v="0"/>
    <x v="10"/>
    <x v="1"/>
    <x v="4"/>
    <x v="2"/>
    <x v="4"/>
    <n v="151"/>
    <n v="35"/>
    <n v="5285"/>
    <n v="526.20000000000005"/>
    <n v="1201.27"/>
    <s v="Delivered"/>
  </r>
  <r>
    <n v="9238"/>
    <d v="2025-08-03T00:00:00"/>
    <x v="0"/>
    <x v="1"/>
    <x v="2"/>
    <x v="6"/>
    <x v="3"/>
    <x v="12"/>
    <n v="287"/>
    <n v="80"/>
    <n v="22960"/>
    <n v="1628.07"/>
    <n v="5062.1899999999996"/>
    <s v="Delivered"/>
  </r>
  <r>
    <n v="9239"/>
    <d v="2025-08-27T00:00:00"/>
    <x v="0"/>
    <x v="1"/>
    <x v="1"/>
    <x v="7"/>
    <x v="3"/>
    <x v="12"/>
    <n v="251"/>
    <n v="80"/>
    <n v="20080"/>
    <n v="1201.74"/>
    <n v="6294.12"/>
    <s v="Delivered"/>
  </r>
  <r>
    <n v="9240"/>
    <d v="2025-04-28T00:00:00"/>
    <x v="0"/>
    <x v="9"/>
    <x v="1"/>
    <x v="8"/>
    <x v="1"/>
    <x v="3"/>
    <n v="449"/>
    <n v="60"/>
    <n v="26940"/>
    <n v="1907.1"/>
    <n v="6247.3"/>
    <s v="Delivered"/>
  </r>
  <r>
    <n v="9241"/>
    <d v="2025-04-12T00:00:00"/>
    <x v="0"/>
    <x v="9"/>
    <x v="0"/>
    <x v="1"/>
    <x v="3"/>
    <x v="12"/>
    <n v="19"/>
    <n v="80"/>
    <n v="1520"/>
    <n v="105.43"/>
    <n v="284.64"/>
    <s v="Delivered"/>
  </r>
  <r>
    <n v="9242"/>
    <d v="2025-09-16T00:00:00"/>
    <x v="0"/>
    <x v="5"/>
    <x v="2"/>
    <x v="3"/>
    <x v="0"/>
    <x v="0"/>
    <n v="469"/>
    <n v="350"/>
    <n v="164150"/>
    <n v="8934.44"/>
    <n v="34600.26"/>
    <s v="Returned"/>
  </r>
  <r>
    <n v="9243"/>
    <d v="2025-11-02T00:00:00"/>
    <x v="0"/>
    <x v="2"/>
    <x v="1"/>
    <x v="2"/>
    <x v="0"/>
    <x v="11"/>
    <n v="273"/>
    <n v="120"/>
    <n v="32760"/>
    <n v="3022.62"/>
    <n v="5763.85"/>
    <s v="Delivered"/>
  </r>
  <r>
    <n v="9244"/>
    <d v="2025-03-28T00:00:00"/>
    <x v="0"/>
    <x v="6"/>
    <x v="2"/>
    <x v="3"/>
    <x v="3"/>
    <x v="7"/>
    <n v="264"/>
    <n v="55"/>
    <n v="14520"/>
    <n v="774.95"/>
    <n v="3653.1"/>
    <s v="Delivered"/>
  </r>
  <r>
    <n v="9245"/>
    <d v="2025-02-08T00:00:00"/>
    <x v="0"/>
    <x v="7"/>
    <x v="1"/>
    <x v="8"/>
    <x v="0"/>
    <x v="0"/>
    <n v="365"/>
    <n v="350"/>
    <n v="127750"/>
    <n v="11574.92"/>
    <n v="26921.93"/>
    <s v="Returned"/>
  </r>
  <r>
    <n v="9246"/>
    <d v="2025-11-27T00:00:00"/>
    <x v="0"/>
    <x v="2"/>
    <x v="1"/>
    <x v="2"/>
    <x v="3"/>
    <x v="9"/>
    <n v="219"/>
    <n v="150"/>
    <n v="32850"/>
    <n v="1685.38"/>
    <n v="7081.42"/>
    <s v="Returned"/>
  </r>
  <r>
    <n v="9247"/>
    <d v="2025-03-06T00:00:00"/>
    <x v="0"/>
    <x v="6"/>
    <x v="1"/>
    <x v="2"/>
    <x v="1"/>
    <x v="5"/>
    <n v="337"/>
    <n v="25"/>
    <n v="8425"/>
    <n v="688.64"/>
    <n v="1665.08"/>
    <s v="Delivered"/>
  </r>
  <r>
    <n v="9248"/>
    <d v="2025-09-11T00:00:00"/>
    <x v="0"/>
    <x v="5"/>
    <x v="1"/>
    <x v="8"/>
    <x v="1"/>
    <x v="8"/>
    <n v="362"/>
    <n v="45"/>
    <n v="16290"/>
    <n v="1121.48"/>
    <n v="3060.23"/>
    <s v="Delivered"/>
  </r>
  <r>
    <n v="9249"/>
    <d v="2025-04-04T00:00:00"/>
    <x v="0"/>
    <x v="9"/>
    <x v="1"/>
    <x v="4"/>
    <x v="0"/>
    <x v="0"/>
    <n v="224"/>
    <n v="350"/>
    <n v="78400"/>
    <n v="7135.56"/>
    <n v="17442"/>
    <s v="Delivered"/>
  </r>
  <r>
    <n v="9250"/>
    <d v="2025-10-25T00:00:00"/>
    <x v="0"/>
    <x v="4"/>
    <x v="2"/>
    <x v="3"/>
    <x v="2"/>
    <x v="6"/>
    <n v="225"/>
    <n v="140"/>
    <n v="31500"/>
    <n v="1894.27"/>
    <n v="10661.15"/>
    <s v="Returned"/>
  </r>
  <r>
    <n v="9251"/>
    <d v="2025-04-20T00:00:00"/>
    <x v="0"/>
    <x v="9"/>
    <x v="1"/>
    <x v="8"/>
    <x v="2"/>
    <x v="6"/>
    <n v="327"/>
    <n v="140"/>
    <n v="45780"/>
    <n v="3105.04"/>
    <n v="12303.95"/>
    <s v="Delivered"/>
  </r>
  <r>
    <n v="9252"/>
    <d v="2025-10-06T00:00:00"/>
    <x v="0"/>
    <x v="4"/>
    <x v="2"/>
    <x v="3"/>
    <x v="1"/>
    <x v="8"/>
    <n v="405"/>
    <n v="45"/>
    <n v="18225"/>
    <n v="1512.07"/>
    <n v="4467.58"/>
    <s v="Delivered"/>
  </r>
  <r>
    <n v="9253"/>
    <d v="2025-11-14T00:00:00"/>
    <x v="0"/>
    <x v="2"/>
    <x v="2"/>
    <x v="6"/>
    <x v="3"/>
    <x v="12"/>
    <n v="244"/>
    <n v="80"/>
    <n v="19520"/>
    <n v="1802.93"/>
    <n v="4770.05"/>
    <s v="Returned"/>
  </r>
  <r>
    <n v="9254"/>
    <d v="2025-03-02T00:00:00"/>
    <x v="0"/>
    <x v="6"/>
    <x v="0"/>
    <x v="0"/>
    <x v="1"/>
    <x v="2"/>
    <n v="48"/>
    <n v="50"/>
    <n v="2400"/>
    <n v="153.46"/>
    <n v="644.80999999999995"/>
    <s v="Returned"/>
  </r>
  <r>
    <n v="9255"/>
    <d v="2025-12-11T00:00:00"/>
    <x v="0"/>
    <x v="10"/>
    <x v="1"/>
    <x v="2"/>
    <x v="1"/>
    <x v="8"/>
    <n v="157"/>
    <n v="45"/>
    <n v="7065"/>
    <n v="424.38"/>
    <n v="1524.06"/>
    <s v="Returned"/>
  </r>
  <r>
    <n v="9256"/>
    <d v="2025-09-17T00:00:00"/>
    <x v="0"/>
    <x v="5"/>
    <x v="2"/>
    <x v="5"/>
    <x v="1"/>
    <x v="8"/>
    <n v="499"/>
    <n v="45"/>
    <n v="22455"/>
    <n v="1129.5999999999999"/>
    <n v="7086.04"/>
    <s v="Delivered"/>
  </r>
  <r>
    <n v="9257"/>
    <d v="2025-01-27T00:00:00"/>
    <x v="0"/>
    <x v="3"/>
    <x v="1"/>
    <x v="7"/>
    <x v="1"/>
    <x v="8"/>
    <n v="320"/>
    <n v="45"/>
    <n v="14400"/>
    <n v="1323.16"/>
    <n v="3060.83"/>
    <s v="Delivered"/>
  </r>
  <r>
    <n v="9258"/>
    <d v="2025-06-14T00:00:00"/>
    <x v="0"/>
    <x v="8"/>
    <x v="2"/>
    <x v="5"/>
    <x v="1"/>
    <x v="2"/>
    <n v="465"/>
    <n v="50"/>
    <n v="23250"/>
    <n v="2118.86"/>
    <n v="5690.72"/>
    <s v="Returned"/>
  </r>
  <r>
    <n v="9259"/>
    <d v="2025-01-22T00:00:00"/>
    <x v="0"/>
    <x v="3"/>
    <x v="2"/>
    <x v="5"/>
    <x v="3"/>
    <x v="12"/>
    <n v="461"/>
    <n v="80"/>
    <n v="36880"/>
    <n v="2780.3"/>
    <n v="11783.43"/>
    <s v="Returned"/>
  </r>
  <r>
    <n v="9260"/>
    <d v="2025-10-21T00:00:00"/>
    <x v="0"/>
    <x v="4"/>
    <x v="1"/>
    <x v="2"/>
    <x v="1"/>
    <x v="1"/>
    <n v="47"/>
    <n v="420"/>
    <n v="19740"/>
    <n v="1471.55"/>
    <n v="3887.89"/>
    <s v="Returned"/>
  </r>
  <r>
    <n v="9261"/>
    <d v="2025-01-17T00:00:00"/>
    <x v="0"/>
    <x v="3"/>
    <x v="0"/>
    <x v="1"/>
    <x v="2"/>
    <x v="6"/>
    <n v="52"/>
    <n v="140"/>
    <n v="7280"/>
    <n v="649.14"/>
    <n v="1692.24"/>
    <s v="Returned"/>
  </r>
  <r>
    <n v="9262"/>
    <d v="2025-08-04T00:00:00"/>
    <x v="0"/>
    <x v="1"/>
    <x v="1"/>
    <x v="2"/>
    <x v="2"/>
    <x v="4"/>
    <n v="173"/>
    <n v="35"/>
    <n v="6055"/>
    <n v="327.7"/>
    <n v="1440.55"/>
    <s v="Returned"/>
  </r>
  <r>
    <n v="9263"/>
    <d v="2025-11-14T00:00:00"/>
    <x v="0"/>
    <x v="2"/>
    <x v="1"/>
    <x v="4"/>
    <x v="3"/>
    <x v="12"/>
    <n v="414"/>
    <n v="80"/>
    <n v="33120"/>
    <n v="2514.4299999999998"/>
    <n v="7726.91"/>
    <s v="Delivered"/>
  </r>
  <r>
    <n v="9264"/>
    <d v="2025-11-22T00:00:00"/>
    <x v="0"/>
    <x v="2"/>
    <x v="2"/>
    <x v="3"/>
    <x v="2"/>
    <x v="6"/>
    <n v="401"/>
    <n v="140"/>
    <n v="56140"/>
    <n v="5315.48"/>
    <n v="14865.79"/>
    <s v="Delivered"/>
  </r>
  <r>
    <n v="9265"/>
    <d v="2025-01-18T00:00:00"/>
    <x v="0"/>
    <x v="3"/>
    <x v="0"/>
    <x v="1"/>
    <x v="1"/>
    <x v="5"/>
    <n v="215"/>
    <n v="25"/>
    <n v="5375"/>
    <n v="525.5"/>
    <n v="1274.2"/>
    <s v="Delivered"/>
  </r>
  <r>
    <n v="9266"/>
    <d v="2025-03-18T00:00:00"/>
    <x v="0"/>
    <x v="6"/>
    <x v="1"/>
    <x v="8"/>
    <x v="0"/>
    <x v="11"/>
    <n v="231"/>
    <n v="120"/>
    <n v="27720"/>
    <n v="2170.2199999999998"/>
    <n v="5174.3999999999996"/>
    <s v="Delivered"/>
  </r>
  <r>
    <n v="9267"/>
    <d v="2025-07-12T00:00:00"/>
    <x v="0"/>
    <x v="11"/>
    <x v="0"/>
    <x v="0"/>
    <x v="1"/>
    <x v="5"/>
    <n v="111"/>
    <n v="25"/>
    <n v="2775"/>
    <n v="250.04"/>
    <n v="738.93"/>
    <s v="Returned"/>
  </r>
  <r>
    <n v="9268"/>
    <d v="2025-09-18T00:00:00"/>
    <x v="0"/>
    <x v="5"/>
    <x v="1"/>
    <x v="2"/>
    <x v="0"/>
    <x v="11"/>
    <n v="439"/>
    <n v="120"/>
    <n v="52680"/>
    <n v="3650.49"/>
    <n v="16762.73"/>
    <s v="Delivered"/>
  </r>
  <r>
    <n v="9269"/>
    <d v="2025-11-26T00:00:00"/>
    <x v="0"/>
    <x v="2"/>
    <x v="1"/>
    <x v="4"/>
    <x v="0"/>
    <x v="0"/>
    <n v="267"/>
    <n v="350"/>
    <n v="93450"/>
    <n v="6625.81"/>
    <n v="29583.73"/>
    <s v="Returned"/>
  </r>
  <r>
    <n v="9270"/>
    <d v="2025-04-13T00:00:00"/>
    <x v="0"/>
    <x v="9"/>
    <x v="2"/>
    <x v="3"/>
    <x v="1"/>
    <x v="5"/>
    <n v="471"/>
    <n v="25"/>
    <n v="11775"/>
    <n v="1048.08"/>
    <n v="2625.67"/>
    <s v="Returned"/>
  </r>
  <r>
    <n v="9271"/>
    <d v="2025-02-09T00:00:00"/>
    <x v="0"/>
    <x v="7"/>
    <x v="2"/>
    <x v="3"/>
    <x v="3"/>
    <x v="9"/>
    <n v="251"/>
    <n v="150"/>
    <n v="37650"/>
    <n v="3359.2"/>
    <n v="6482.24"/>
    <s v="Returned"/>
  </r>
  <r>
    <n v="9272"/>
    <d v="2025-04-05T00:00:00"/>
    <x v="0"/>
    <x v="9"/>
    <x v="0"/>
    <x v="1"/>
    <x v="0"/>
    <x v="10"/>
    <n v="82"/>
    <n v="300"/>
    <n v="24600"/>
    <n v="2297.98"/>
    <n v="5408.71"/>
    <s v="Delivered"/>
  </r>
  <r>
    <n v="9273"/>
    <d v="2025-10-07T00:00:00"/>
    <x v="0"/>
    <x v="4"/>
    <x v="1"/>
    <x v="7"/>
    <x v="2"/>
    <x v="4"/>
    <n v="379"/>
    <n v="35"/>
    <n v="13265"/>
    <n v="941.93"/>
    <n v="2761.74"/>
    <s v="Returned"/>
  </r>
  <r>
    <n v="9274"/>
    <d v="2025-07-11T00:00:00"/>
    <x v="0"/>
    <x v="11"/>
    <x v="0"/>
    <x v="0"/>
    <x v="1"/>
    <x v="8"/>
    <n v="359"/>
    <n v="45"/>
    <n v="16155"/>
    <n v="1026.07"/>
    <n v="4951.18"/>
    <s v="Delivered"/>
  </r>
  <r>
    <n v="9275"/>
    <d v="2025-10-22T00:00:00"/>
    <x v="0"/>
    <x v="4"/>
    <x v="1"/>
    <x v="4"/>
    <x v="3"/>
    <x v="9"/>
    <n v="428"/>
    <n v="150"/>
    <n v="64200"/>
    <n v="6328.62"/>
    <n v="16544.189999999999"/>
    <s v="Delivered"/>
  </r>
  <r>
    <n v="9276"/>
    <d v="2025-07-09T00:00:00"/>
    <x v="0"/>
    <x v="11"/>
    <x v="1"/>
    <x v="8"/>
    <x v="2"/>
    <x v="6"/>
    <n v="196"/>
    <n v="140"/>
    <n v="27440"/>
    <n v="1621.15"/>
    <n v="6615.87"/>
    <s v="Delivered"/>
  </r>
  <r>
    <n v="9277"/>
    <d v="2025-02-16T00:00:00"/>
    <x v="0"/>
    <x v="7"/>
    <x v="0"/>
    <x v="1"/>
    <x v="0"/>
    <x v="0"/>
    <n v="311"/>
    <n v="350"/>
    <n v="108850"/>
    <n v="7195.89"/>
    <n v="30867.53"/>
    <s v="Returned"/>
  </r>
  <r>
    <n v="9278"/>
    <d v="2025-07-09T00:00:00"/>
    <x v="0"/>
    <x v="11"/>
    <x v="2"/>
    <x v="3"/>
    <x v="1"/>
    <x v="3"/>
    <n v="336"/>
    <n v="60"/>
    <n v="20160"/>
    <n v="1712.44"/>
    <n v="4147.96"/>
    <s v="Returned"/>
  </r>
  <r>
    <n v="9279"/>
    <d v="2025-06-16T00:00:00"/>
    <x v="0"/>
    <x v="8"/>
    <x v="2"/>
    <x v="5"/>
    <x v="3"/>
    <x v="12"/>
    <n v="408"/>
    <n v="80"/>
    <n v="32640"/>
    <n v="1767.46"/>
    <n v="8346.19"/>
    <s v="Returned"/>
  </r>
  <r>
    <n v="9280"/>
    <d v="2025-12-31T00:00:00"/>
    <x v="0"/>
    <x v="10"/>
    <x v="1"/>
    <x v="7"/>
    <x v="1"/>
    <x v="3"/>
    <n v="134"/>
    <n v="60"/>
    <n v="8040"/>
    <n v="735.08"/>
    <n v="1284.47"/>
    <s v="Delivered"/>
  </r>
  <r>
    <n v="9281"/>
    <d v="2025-03-23T00:00:00"/>
    <x v="0"/>
    <x v="6"/>
    <x v="0"/>
    <x v="0"/>
    <x v="0"/>
    <x v="0"/>
    <n v="217"/>
    <n v="350"/>
    <n v="75950"/>
    <n v="7349.05"/>
    <n v="20870.349999999999"/>
    <s v="Delivered"/>
  </r>
  <r>
    <n v="9282"/>
    <d v="2025-02-11T00:00:00"/>
    <x v="0"/>
    <x v="7"/>
    <x v="2"/>
    <x v="3"/>
    <x v="0"/>
    <x v="10"/>
    <n v="429"/>
    <n v="300"/>
    <n v="128700"/>
    <n v="10077.6"/>
    <n v="30245.33"/>
    <s v="Delivered"/>
  </r>
  <r>
    <n v="9283"/>
    <d v="2025-07-03T00:00:00"/>
    <x v="0"/>
    <x v="11"/>
    <x v="1"/>
    <x v="4"/>
    <x v="3"/>
    <x v="9"/>
    <n v="361"/>
    <n v="150"/>
    <n v="54150"/>
    <n v="4827.4399999999996"/>
    <n v="10269.370000000001"/>
    <s v="Returned"/>
  </r>
  <r>
    <n v="9284"/>
    <d v="2025-06-09T00:00:00"/>
    <x v="0"/>
    <x v="8"/>
    <x v="2"/>
    <x v="3"/>
    <x v="3"/>
    <x v="7"/>
    <n v="317"/>
    <n v="55"/>
    <n v="17435"/>
    <n v="1005.87"/>
    <n v="4697.6000000000004"/>
    <s v="Delivered"/>
  </r>
  <r>
    <n v="9285"/>
    <d v="2025-03-15T00:00:00"/>
    <x v="0"/>
    <x v="6"/>
    <x v="2"/>
    <x v="3"/>
    <x v="0"/>
    <x v="10"/>
    <n v="332"/>
    <n v="300"/>
    <n v="99600"/>
    <n v="5996.34"/>
    <n v="20296.09"/>
    <s v="Returned"/>
  </r>
  <r>
    <n v="9286"/>
    <d v="2025-07-30T00:00:00"/>
    <x v="0"/>
    <x v="11"/>
    <x v="0"/>
    <x v="0"/>
    <x v="1"/>
    <x v="8"/>
    <n v="73"/>
    <n v="45"/>
    <n v="3285"/>
    <n v="317.93"/>
    <n v="935.15"/>
    <s v="Delivered"/>
  </r>
  <r>
    <n v="9287"/>
    <d v="2025-01-26T00:00:00"/>
    <x v="0"/>
    <x v="3"/>
    <x v="1"/>
    <x v="2"/>
    <x v="1"/>
    <x v="8"/>
    <n v="101"/>
    <n v="45"/>
    <n v="4545"/>
    <n v="322.39999999999998"/>
    <n v="829.26"/>
    <s v="Delivered"/>
  </r>
  <r>
    <n v="9288"/>
    <d v="2025-07-14T00:00:00"/>
    <x v="0"/>
    <x v="11"/>
    <x v="2"/>
    <x v="3"/>
    <x v="1"/>
    <x v="1"/>
    <n v="210"/>
    <n v="420"/>
    <n v="88200"/>
    <n v="5624.24"/>
    <n v="20924.57"/>
    <s v="Returned"/>
  </r>
  <r>
    <n v="9289"/>
    <d v="2025-04-15T00:00:00"/>
    <x v="0"/>
    <x v="9"/>
    <x v="0"/>
    <x v="0"/>
    <x v="0"/>
    <x v="0"/>
    <n v="344"/>
    <n v="350"/>
    <n v="120400"/>
    <n v="8293.26"/>
    <n v="29585.61"/>
    <s v="Delivered"/>
  </r>
  <r>
    <n v="9290"/>
    <d v="2025-04-28T00:00:00"/>
    <x v="0"/>
    <x v="9"/>
    <x v="0"/>
    <x v="0"/>
    <x v="3"/>
    <x v="7"/>
    <n v="228"/>
    <n v="55"/>
    <n v="12540"/>
    <n v="855.42"/>
    <n v="3295.97"/>
    <s v="Returned"/>
  </r>
  <r>
    <n v="9291"/>
    <d v="2025-01-14T00:00:00"/>
    <x v="0"/>
    <x v="3"/>
    <x v="0"/>
    <x v="0"/>
    <x v="1"/>
    <x v="5"/>
    <n v="12"/>
    <n v="25"/>
    <n v="300"/>
    <n v="29.75"/>
    <n v="54.29"/>
    <s v="Returned"/>
  </r>
  <r>
    <n v="9292"/>
    <d v="2025-04-23T00:00:00"/>
    <x v="0"/>
    <x v="9"/>
    <x v="2"/>
    <x v="6"/>
    <x v="1"/>
    <x v="8"/>
    <n v="232"/>
    <n v="45"/>
    <n v="10440"/>
    <n v="608.84"/>
    <n v="2983.8"/>
    <s v="Delivered"/>
  </r>
  <r>
    <n v="9293"/>
    <d v="2025-05-25T00:00:00"/>
    <x v="0"/>
    <x v="0"/>
    <x v="2"/>
    <x v="3"/>
    <x v="0"/>
    <x v="0"/>
    <n v="407"/>
    <n v="350"/>
    <n v="142450"/>
    <n v="11381.04"/>
    <n v="35401.379999999997"/>
    <s v="Delivered"/>
  </r>
  <r>
    <n v="9294"/>
    <d v="2025-08-06T00:00:00"/>
    <x v="0"/>
    <x v="1"/>
    <x v="1"/>
    <x v="7"/>
    <x v="1"/>
    <x v="8"/>
    <n v="314"/>
    <n v="45"/>
    <n v="14130"/>
    <n v="846.69"/>
    <n v="4151.76"/>
    <s v="Delivered"/>
  </r>
  <r>
    <n v="9295"/>
    <d v="2025-09-08T00:00:00"/>
    <x v="0"/>
    <x v="5"/>
    <x v="2"/>
    <x v="6"/>
    <x v="0"/>
    <x v="11"/>
    <n v="323"/>
    <n v="120"/>
    <n v="38760"/>
    <n v="3742.63"/>
    <n v="9573.5499999999993"/>
    <s v="Delivered"/>
  </r>
  <r>
    <n v="9296"/>
    <d v="2025-01-08T00:00:00"/>
    <x v="0"/>
    <x v="3"/>
    <x v="1"/>
    <x v="8"/>
    <x v="0"/>
    <x v="0"/>
    <n v="497"/>
    <n v="350"/>
    <n v="173950"/>
    <n v="13625.44"/>
    <n v="44613.93"/>
    <s v="Delivered"/>
  </r>
  <r>
    <n v="9297"/>
    <d v="2025-09-27T00:00:00"/>
    <x v="0"/>
    <x v="5"/>
    <x v="1"/>
    <x v="4"/>
    <x v="1"/>
    <x v="5"/>
    <n v="330"/>
    <n v="25"/>
    <n v="8250"/>
    <n v="778.97"/>
    <n v="2296.9"/>
    <s v="Returned"/>
  </r>
  <r>
    <n v="9298"/>
    <d v="2025-03-22T00:00:00"/>
    <x v="0"/>
    <x v="6"/>
    <x v="2"/>
    <x v="3"/>
    <x v="1"/>
    <x v="3"/>
    <n v="323"/>
    <n v="60"/>
    <n v="19380"/>
    <n v="1102.8"/>
    <n v="4615.7"/>
    <s v="Delivered"/>
  </r>
  <r>
    <n v="9299"/>
    <d v="2025-09-17T00:00:00"/>
    <x v="0"/>
    <x v="5"/>
    <x v="1"/>
    <x v="8"/>
    <x v="1"/>
    <x v="1"/>
    <n v="8"/>
    <n v="420"/>
    <n v="3360"/>
    <n v="191.94"/>
    <n v="1151.6600000000001"/>
    <s v="Delivered"/>
  </r>
  <r>
    <n v="9300"/>
    <d v="2025-07-14T00:00:00"/>
    <x v="0"/>
    <x v="11"/>
    <x v="1"/>
    <x v="8"/>
    <x v="0"/>
    <x v="11"/>
    <n v="61"/>
    <n v="120"/>
    <n v="7320"/>
    <n v="714.73"/>
    <n v="1116.6199999999999"/>
    <s v="Delivered"/>
  </r>
  <r>
    <n v="9301"/>
    <d v="2025-02-09T00:00:00"/>
    <x v="0"/>
    <x v="7"/>
    <x v="1"/>
    <x v="2"/>
    <x v="1"/>
    <x v="8"/>
    <n v="104"/>
    <n v="45"/>
    <n v="4680"/>
    <n v="449.39"/>
    <n v="1415.62"/>
    <s v="Returned"/>
  </r>
  <r>
    <n v="9302"/>
    <d v="2025-09-07T00:00:00"/>
    <x v="0"/>
    <x v="5"/>
    <x v="0"/>
    <x v="1"/>
    <x v="0"/>
    <x v="11"/>
    <n v="327"/>
    <n v="120"/>
    <n v="39240"/>
    <n v="3904.87"/>
    <n v="7186.94"/>
    <s v="Delivered"/>
  </r>
  <r>
    <n v="9303"/>
    <d v="2025-10-12T00:00:00"/>
    <x v="0"/>
    <x v="4"/>
    <x v="2"/>
    <x v="3"/>
    <x v="0"/>
    <x v="0"/>
    <n v="289"/>
    <n v="350"/>
    <n v="101150"/>
    <n v="7583.22"/>
    <n v="20518.97"/>
    <s v="Delivered"/>
  </r>
  <r>
    <n v="9304"/>
    <d v="2025-01-19T00:00:00"/>
    <x v="0"/>
    <x v="3"/>
    <x v="1"/>
    <x v="7"/>
    <x v="2"/>
    <x v="4"/>
    <n v="62"/>
    <n v="35"/>
    <n v="2170"/>
    <n v="170.77"/>
    <n v="647.80999999999995"/>
    <s v="Returned"/>
  </r>
  <r>
    <n v="9305"/>
    <d v="2025-02-22T00:00:00"/>
    <x v="0"/>
    <x v="7"/>
    <x v="1"/>
    <x v="4"/>
    <x v="1"/>
    <x v="5"/>
    <n v="75"/>
    <n v="25"/>
    <n v="1875"/>
    <n v="162.69"/>
    <n v="569.55999999999995"/>
    <s v="Delivered"/>
  </r>
  <r>
    <n v="9306"/>
    <d v="2025-10-29T00:00:00"/>
    <x v="0"/>
    <x v="4"/>
    <x v="2"/>
    <x v="6"/>
    <x v="2"/>
    <x v="6"/>
    <n v="295"/>
    <n v="140"/>
    <n v="41300"/>
    <n v="3286.21"/>
    <n v="11325.18"/>
    <s v="Returned"/>
  </r>
  <r>
    <n v="9307"/>
    <d v="2025-07-07T00:00:00"/>
    <x v="0"/>
    <x v="11"/>
    <x v="2"/>
    <x v="3"/>
    <x v="1"/>
    <x v="5"/>
    <n v="325"/>
    <n v="25"/>
    <n v="8125"/>
    <n v="562.84"/>
    <n v="2167.2199999999998"/>
    <s v="Delivered"/>
  </r>
  <r>
    <n v="9308"/>
    <d v="2025-05-30T00:00:00"/>
    <x v="0"/>
    <x v="0"/>
    <x v="2"/>
    <x v="5"/>
    <x v="0"/>
    <x v="10"/>
    <n v="266"/>
    <n v="300"/>
    <n v="79800"/>
    <n v="5530.77"/>
    <n v="23074.41"/>
    <s v="Delivered"/>
  </r>
  <r>
    <n v="9309"/>
    <d v="2025-02-10T00:00:00"/>
    <x v="0"/>
    <x v="7"/>
    <x v="1"/>
    <x v="2"/>
    <x v="2"/>
    <x v="6"/>
    <n v="404"/>
    <n v="140"/>
    <n v="56560"/>
    <n v="4133.54"/>
    <n v="13075.77"/>
    <s v="Returned"/>
  </r>
  <r>
    <n v="9310"/>
    <d v="2025-09-12T00:00:00"/>
    <x v="0"/>
    <x v="5"/>
    <x v="2"/>
    <x v="3"/>
    <x v="1"/>
    <x v="1"/>
    <n v="268"/>
    <n v="420"/>
    <n v="112560"/>
    <n v="9368.9599999999991"/>
    <n v="30907.23"/>
    <s v="Returned"/>
  </r>
  <r>
    <n v="9311"/>
    <d v="2025-03-09T00:00:00"/>
    <x v="0"/>
    <x v="6"/>
    <x v="1"/>
    <x v="7"/>
    <x v="0"/>
    <x v="11"/>
    <n v="320"/>
    <n v="120"/>
    <n v="38400"/>
    <n v="3616.06"/>
    <n v="11384.29"/>
    <s v="Returned"/>
  </r>
  <r>
    <n v="9312"/>
    <d v="2025-03-06T00:00:00"/>
    <x v="0"/>
    <x v="6"/>
    <x v="1"/>
    <x v="2"/>
    <x v="3"/>
    <x v="7"/>
    <n v="368"/>
    <n v="55"/>
    <n v="20240"/>
    <n v="1259.77"/>
    <n v="5716.2"/>
    <s v="Delivered"/>
  </r>
  <r>
    <n v="9313"/>
    <d v="2025-04-28T00:00:00"/>
    <x v="0"/>
    <x v="9"/>
    <x v="0"/>
    <x v="1"/>
    <x v="1"/>
    <x v="3"/>
    <n v="322"/>
    <n v="60"/>
    <n v="19320"/>
    <n v="1071.1500000000001"/>
    <n v="5372.28"/>
    <s v="Returned"/>
  </r>
  <r>
    <n v="9314"/>
    <d v="2025-03-27T00:00:00"/>
    <x v="0"/>
    <x v="6"/>
    <x v="1"/>
    <x v="7"/>
    <x v="1"/>
    <x v="8"/>
    <n v="129"/>
    <n v="45"/>
    <n v="5805"/>
    <n v="570.49"/>
    <n v="1452.34"/>
    <s v="Delivered"/>
  </r>
  <r>
    <n v="9315"/>
    <d v="2025-12-19T00:00:00"/>
    <x v="0"/>
    <x v="10"/>
    <x v="1"/>
    <x v="4"/>
    <x v="0"/>
    <x v="10"/>
    <n v="354"/>
    <n v="300"/>
    <n v="106200"/>
    <n v="9424.1"/>
    <n v="32636.400000000001"/>
    <s v="Returned"/>
  </r>
  <r>
    <n v="9316"/>
    <d v="2025-11-17T00:00:00"/>
    <x v="0"/>
    <x v="2"/>
    <x v="2"/>
    <x v="5"/>
    <x v="0"/>
    <x v="11"/>
    <n v="295"/>
    <n v="120"/>
    <n v="35400"/>
    <n v="2797.93"/>
    <n v="7928.15"/>
    <s v="Delivered"/>
  </r>
  <r>
    <n v="9317"/>
    <d v="2025-08-07T00:00:00"/>
    <x v="0"/>
    <x v="1"/>
    <x v="0"/>
    <x v="1"/>
    <x v="3"/>
    <x v="12"/>
    <n v="126"/>
    <n v="80"/>
    <n v="10080"/>
    <n v="916.59"/>
    <n v="2677.17"/>
    <s v="Returned"/>
  </r>
  <r>
    <n v="9318"/>
    <d v="2025-02-12T00:00:00"/>
    <x v="0"/>
    <x v="7"/>
    <x v="1"/>
    <x v="4"/>
    <x v="1"/>
    <x v="1"/>
    <n v="85"/>
    <n v="420"/>
    <n v="35700"/>
    <n v="2550.9499999999998"/>
    <n v="8664.91"/>
    <s v="Returned"/>
  </r>
  <r>
    <n v="9319"/>
    <d v="2025-06-14T00:00:00"/>
    <x v="0"/>
    <x v="8"/>
    <x v="1"/>
    <x v="8"/>
    <x v="1"/>
    <x v="8"/>
    <n v="63"/>
    <n v="45"/>
    <n v="2835"/>
    <n v="251.8"/>
    <n v="711.6"/>
    <s v="Returned"/>
  </r>
  <r>
    <n v="9320"/>
    <d v="2025-04-01T00:00:00"/>
    <x v="0"/>
    <x v="9"/>
    <x v="2"/>
    <x v="5"/>
    <x v="3"/>
    <x v="12"/>
    <n v="271"/>
    <n v="80"/>
    <n v="21680"/>
    <n v="1765.99"/>
    <n v="6669.89"/>
    <s v="Delivered"/>
  </r>
  <r>
    <n v="9321"/>
    <d v="2025-05-05T00:00:00"/>
    <x v="0"/>
    <x v="0"/>
    <x v="1"/>
    <x v="4"/>
    <x v="1"/>
    <x v="5"/>
    <n v="46"/>
    <n v="25"/>
    <n v="1150"/>
    <n v="62.97"/>
    <n v="254.8"/>
    <s v="Returned"/>
  </r>
  <r>
    <n v="9322"/>
    <d v="2025-04-23T00:00:00"/>
    <x v="0"/>
    <x v="9"/>
    <x v="2"/>
    <x v="5"/>
    <x v="3"/>
    <x v="9"/>
    <n v="102"/>
    <n v="150"/>
    <n v="15300"/>
    <n v="1361.43"/>
    <n v="2511.92"/>
    <s v="Delivered"/>
  </r>
  <r>
    <n v="9323"/>
    <d v="2025-06-20T00:00:00"/>
    <x v="0"/>
    <x v="8"/>
    <x v="1"/>
    <x v="8"/>
    <x v="2"/>
    <x v="6"/>
    <n v="473"/>
    <n v="140"/>
    <n v="66220"/>
    <n v="6311.22"/>
    <n v="15466.86"/>
    <s v="Delivered"/>
  </r>
  <r>
    <n v="9324"/>
    <d v="2025-03-01T00:00:00"/>
    <x v="0"/>
    <x v="6"/>
    <x v="1"/>
    <x v="2"/>
    <x v="1"/>
    <x v="1"/>
    <n v="376"/>
    <n v="420"/>
    <n v="157920"/>
    <n v="14400.38"/>
    <n v="32279.45"/>
    <s v="Returned"/>
  </r>
  <r>
    <n v="9325"/>
    <d v="2025-02-05T00:00:00"/>
    <x v="0"/>
    <x v="7"/>
    <x v="0"/>
    <x v="0"/>
    <x v="0"/>
    <x v="0"/>
    <n v="79"/>
    <n v="350"/>
    <n v="27650"/>
    <n v="2236.44"/>
    <n v="8498.1299999999992"/>
    <s v="Delivered"/>
  </r>
  <r>
    <n v="9326"/>
    <d v="2025-07-13T00:00:00"/>
    <x v="0"/>
    <x v="11"/>
    <x v="2"/>
    <x v="6"/>
    <x v="3"/>
    <x v="12"/>
    <n v="9"/>
    <n v="80"/>
    <n v="720"/>
    <n v="39.56"/>
    <n v="164.71"/>
    <s v="Returned"/>
  </r>
  <r>
    <n v="9327"/>
    <d v="2025-11-18T00:00:00"/>
    <x v="0"/>
    <x v="2"/>
    <x v="1"/>
    <x v="8"/>
    <x v="2"/>
    <x v="4"/>
    <n v="77"/>
    <n v="35"/>
    <n v="2695"/>
    <n v="233.07"/>
    <n v="454.43"/>
    <s v="Returned"/>
  </r>
  <r>
    <n v="9328"/>
    <d v="2025-11-24T00:00:00"/>
    <x v="0"/>
    <x v="2"/>
    <x v="2"/>
    <x v="3"/>
    <x v="3"/>
    <x v="7"/>
    <n v="216"/>
    <n v="55"/>
    <n v="11880"/>
    <n v="694"/>
    <n v="3101.11"/>
    <s v="Delivered"/>
  </r>
  <r>
    <n v="9329"/>
    <d v="2025-03-05T00:00:00"/>
    <x v="0"/>
    <x v="6"/>
    <x v="2"/>
    <x v="3"/>
    <x v="1"/>
    <x v="2"/>
    <n v="411"/>
    <n v="50"/>
    <n v="20550"/>
    <n v="1508.61"/>
    <n v="6511.58"/>
    <s v="Returned"/>
  </r>
  <r>
    <n v="9330"/>
    <d v="2025-04-06T00:00:00"/>
    <x v="0"/>
    <x v="9"/>
    <x v="2"/>
    <x v="5"/>
    <x v="3"/>
    <x v="9"/>
    <n v="490"/>
    <n v="150"/>
    <n v="73500"/>
    <n v="4778.76"/>
    <n v="21233.279999999999"/>
    <s v="Returned"/>
  </r>
  <r>
    <n v="9331"/>
    <d v="2025-06-18T00:00:00"/>
    <x v="0"/>
    <x v="8"/>
    <x v="1"/>
    <x v="2"/>
    <x v="3"/>
    <x v="12"/>
    <n v="361"/>
    <n v="80"/>
    <n v="28880"/>
    <n v="2527.63"/>
    <n v="6007.82"/>
    <s v="Delivered"/>
  </r>
  <r>
    <n v="9332"/>
    <d v="2025-06-11T00:00:00"/>
    <x v="0"/>
    <x v="8"/>
    <x v="2"/>
    <x v="6"/>
    <x v="0"/>
    <x v="10"/>
    <n v="291"/>
    <n v="300"/>
    <n v="87300"/>
    <n v="6415.07"/>
    <n v="20935.71"/>
    <s v="Returned"/>
  </r>
  <r>
    <n v="9333"/>
    <d v="2025-09-10T00:00:00"/>
    <x v="0"/>
    <x v="5"/>
    <x v="0"/>
    <x v="1"/>
    <x v="0"/>
    <x v="0"/>
    <n v="370"/>
    <n v="350"/>
    <n v="129500"/>
    <n v="8447.11"/>
    <n v="42834.18"/>
    <s v="Returned"/>
  </r>
  <r>
    <n v="9334"/>
    <d v="2025-11-20T00:00:00"/>
    <x v="0"/>
    <x v="2"/>
    <x v="2"/>
    <x v="3"/>
    <x v="2"/>
    <x v="6"/>
    <n v="313"/>
    <n v="140"/>
    <n v="43820"/>
    <n v="3327.19"/>
    <n v="10012.93"/>
    <s v="Delivered"/>
  </r>
  <r>
    <n v="9335"/>
    <d v="2025-01-07T00:00:00"/>
    <x v="0"/>
    <x v="3"/>
    <x v="0"/>
    <x v="0"/>
    <x v="1"/>
    <x v="8"/>
    <n v="221"/>
    <n v="45"/>
    <n v="9945"/>
    <n v="976.58"/>
    <n v="1810.14"/>
    <s v="Returned"/>
  </r>
  <r>
    <n v="9336"/>
    <d v="2025-10-01T00:00:00"/>
    <x v="0"/>
    <x v="4"/>
    <x v="0"/>
    <x v="1"/>
    <x v="1"/>
    <x v="1"/>
    <n v="120"/>
    <n v="420"/>
    <n v="50400"/>
    <n v="4349.79"/>
    <n v="10052.790000000001"/>
    <s v="Delivered"/>
  </r>
  <r>
    <n v="9337"/>
    <d v="2025-05-09T00:00:00"/>
    <x v="0"/>
    <x v="0"/>
    <x v="1"/>
    <x v="4"/>
    <x v="2"/>
    <x v="6"/>
    <n v="30"/>
    <n v="140"/>
    <n v="4200"/>
    <n v="270.63"/>
    <n v="841.88"/>
    <s v="Delivered"/>
  </r>
  <r>
    <n v="9338"/>
    <d v="2025-12-18T00:00:00"/>
    <x v="0"/>
    <x v="10"/>
    <x v="1"/>
    <x v="4"/>
    <x v="3"/>
    <x v="9"/>
    <n v="462"/>
    <n v="150"/>
    <n v="69300"/>
    <n v="5806.37"/>
    <n v="16792.48"/>
    <s v="Delivered"/>
  </r>
  <r>
    <n v="9339"/>
    <d v="2025-03-05T00:00:00"/>
    <x v="0"/>
    <x v="6"/>
    <x v="2"/>
    <x v="6"/>
    <x v="0"/>
    <x v="10"/>
    <n v="52"/>
    <n v="300"/>
    <n v="15600"/>
    <n v="1027.68"/>
    <n v="3366.69"/>
    <s v="Returned"/>
  </r>
  <r>
    <n v="9340"/>
    <d v="2025-06-11T00:00:00"/>
    <x v="0"/>
    <x v="8"/>
    <x v="0"/>
    <x v="0"/>
    <x v="3"/>
    <x v="9"/>
    <n v="168"/>
    <n v="150"/>
    <n v="25200"/>
    <n v="2477.84"/>
    <n v="7269.07"/>
    <s v="Delivered"/>
  </r>
  <r>
    <n v="9341"/>
    <d v="2025-04-24T00:00:00"/>
    <x v="0"/>
    <x v="9"/>
    <x v="0"/>
    <x v="0"/>
    <x v="0"/>
    <x v="11"/>
    <n v="302"/>
    <n v="120"/>
    <n v="36240"/>
    <n v="3007.39"/>
    <n v="10691.01"/>
    <s v="Returned"/>
  </r>
  <r>
    <n v="9342"/>
    <d v="2025-02-04T00:00:00"/>
    <x v="0"/>
    <x v="7"/>
    <x v="1"/>
    <x v="2"/>
    <x v="1"/>
    <x v="3"/>
    <n v="411"/>
    <n v="60"/>
    <n v="24660"/>
    <n v="2412.3200000000002"/>
    <n v="6480.58"/>
    <s v="Delivered"/>
  </r>
  <r>
    <n v="9343"/>
    <d v="2025-03-20T00:00:00"/>
    <x v="0"/>
    <x v="6"/>
    <x v="2"/>
    <x v="6"/>
    <x v="1"/>
    <x v="1"/>
    <n v="260"/>
    <n v="420"/>
    <n v="109200"/>
    <n v="8755.83"/>
    <n v="24972.3"/>
    <s v="Delivered"/>
  </r>
  <r>
    <n v="9344"/>
    <d v="2025-03-17T00:00:00"/>
    <x v="0"/>
    <x v="6"/>
    <x v="0"/>
    <x v="1"/>
    <x v="2"/>
    <x v="6"/>
    <n v="475"/>
    <n v="140"/>
    <n v="66500"/>
    <n v="5290.15"/>
    <n v="13120.48"/>
    <s v="Delivered"/>
  </r>
  <r>
    <n v="9345"/>
    <d v="2025-11-11T00:00:00"/>
    <x v="0"/>
    <x v="2"/>
    <x v="0"/>
    <x v="1"/>
    <x v="1"/>
    <x v="5"/>
    <n v="96"/>
    <n v="25"/>
    <n v="2400"/>
    <n v="190.65"/>
    <n v="460.33"/>
    <s v="Delivered"/>
  </r>
  <r>
    <n v="9346"/>
    <d v="2025-01-04T00:00:00"/>
    <x v="0"/>
    <x v="3"/>
    <x v="1"/>
    <x v="2"/>
    <x v="3"/>
    <x v="12"/>
    <n v="146"/>
    <n v="80"/>
    <n v="11680"/>
    <n v="617.46"/>
    <n v="2318.64"/>
    <s v="Delivered"/>
  </r>
  <r>
    <n v="9347"/>
    <d v="2025-11-22T00:00:00"/>
    <x v="0"/>
    <x v="2"/>
    <x v="2"/>
    <x v="5"/>
    <x v="3"/>
    <x v="12"/>
    <n v="436"/>
    <n v="80"/>
    <n v="34880"/>
    <n v="2079.37"/>
    <n v="11702.25"/>
    <s v="Delivered"/>
  </r>
  <r>
    <n v="9348"/>
    <d v="2025-08-15T00:00:00"/>
    <x v="0"/>
    <x v="1"/>
    <x v="2"/>
    <x v="5"/>
    <x v="0"/>
    <x v="11"/>
    <n v="428"/>
    <n v="120"/>
    <n v="51360"/>
    <n v="4171.87"/>
    <n v="14298.83"/>
    <s v="Delivered"/>
  </r>
  <r>
    <n v="9349"/>
    <d v="2025-02-16T00:00:00"/>
    <x v="0"/>
    <x v="7"/>
    <x v="2"/>
    <x v="6"/>
    <x v="0"/>
    <x v="10"/>
    <n v="398"/>
    <n v="300"/>
    <n v="119400"/>
    <n v="7416.54"/>
    <n v="37326.129999999997"/>
    <s v="Delivered"/>
  </r>
  <r>
    <n v="9350"/>
    <d v="2025-01-31T00:00:00"/>
    <x v="0"/>
    <x v="3"/>
    <x v="2"/>
    <x v="3"/>
    <x v="3"/>
    <x v="12"/>
    <n v="346"/>
    <n v="80"/>
    <n v="27680"/>
    <n v="2640.12"/>
    <n v="6138.29"/>
    <s v="Delivered"/>
  </r>
  <r>
    <n v="9351"/>
    <d v="2025-09-16T00:00:00"/>
    <x v="0"/>
    <x v="5"/>
    <x v="0"/>
    <x v="1"/>
    <x v="0"/>
    <x v="10"/>
    <n v="208"/>
    <n v="300"/>
    <n v="62400"/>
    <n v="5161.5200000000004"/>
    <n v="14847.58"/>
    <s v="Returned"/>
  </r>
  <r>
    <n v="9352"/>
    <d v="2025-12-01T00:00:00"/>
    <x v="0"/>
    <x v="10"/>
    <x v="0"/>
    <x v="1"/>
    <x v="0"/>
    <x v="10"/>
    <n v="49"/>
    <n v="300"/>
    <n v="14700"/>
    <n v="1105.1099999999999"/>
    <n v="3999.79"/>
    <s v="Returned"/>
  </r>
  <r>
    <n v="9353"/>
    <d v="2025-04-17T00:00:00"/>
    <x v="0"/>
    <x v="9"/>
    <x v="2"/>
    <x v="3"/>
    <x v="0"/>
    <x v="11"/>
    <n v="130"/>
    <n v="120"/>
    <n v="15600"/>
    <n v="1275.9100000000001"/>
    <n v="2740.88"/>
    <s v="Returned"/>
  </r>
  <r>
    <n v="9354"/>
    <d v="2025-07-26T00:00:00"/>
    <x v="0"/>
    <x v="11"/>
    <x v="1"/>
    <x v="4"/>
    <x v="1"/>
    <x v="1"/>
    <n v="415"/>
    <n v="420"/>
    <n v="174300"/>
    <n v="12386.23"/>
    <n v="37613.86"/>
    <s v="Delivered"/>
  </r>
  <r>
    <n v="9355"/>
    <d v="2025-04-20T00:00:00"/>
    <x v="0"/>
    <x v="9"/>
    <x v="1"/>
    <x v="2"/>
    <x v="3"/>
    <x v="12"/>
    <n v="455"/>
    <n v="80"/>
    <n v="36400"/>
    <n v="3210.17"/>
    <n v="7103.18"/>
    <s v="Delivered"/>
  </r>
  <r>
    <n v="9356"/>
    <d v="2025-09-20T00:00:00"/>
    <x v="0"/>
    <x v="5"/>
    <x v="0"/>
    <x v="1"/>
    <x v="1"/>
    <x v="3"/>
    <n v="17"/>
    <n v="60"/>
    <n v="1020"/>
    <n v="77.02"/>
    <n v="220.61"/>
    <s v="Returned"/>
  </r>
  <r>
    <n v="9357"/>
    <d v="2025-03-24T00:00:00"/>
    <x v="0"/>
    <x v="6"/>
    <x v="1"/>
    <x v="8"/>
    <x v="1"/>
    <x v="8"/>
    <n v="39"/>
    <n v="45"/>
    <n v="1755"/>
    <n v="127.43"/>
    <n v="508.66"/>
    <s v="Delivered"/>
  </r>
  <r>
    <n v="9358"/>
    <d v="2025-03-07T00:00:00"/>
    <x v="0"/>
    <x v="6"/>
    <x v="1"/>
    <x v="8"/>
    <x v="0"/>
    <x v="10"/>
    <n v="30"/>
    <n v="300"/>
    <n v="9000"/>
    <n v="817.82"/>
    <n v="1649.03"/>
    <s v="Delivered"/>
  </r>
  <r>
    <n v="9359"/>
    <d v="2025-02-14T00:00:00"/>
    <x v="0"/>
    <x v="7"/>
    <x v="0"/>
    <x v="1"/>
    <x v="1"/>
    <x v="8"/>
    <n v="463"/>
    <n v="45"/>
    <n v="20835"/>
    <n v="1616.73"/>
    <n v="6650.98"/>
    <s v="Returned"/>
  </r>
  <r>
    <n v="9360"/>
    <d v="2025-04-22T00:00:00"/>
    <x v="0"/>
    <x v="9"/>
    <x v="0"/>
    <x v="1"/>
    <x v="3"/>
    <x v="12"/>
    <n v="223"/>
    <n v="80"/>
    <n v="17840"/>
    <n v="1421.13"/>
    <n v="3706.83"/>
    <s v="Returned"/>
  </r>
  <r>
    <n v="9361"/>
    <d v="2025-09-29T00:00:00"/>
    <x v="0"/>
    <x v="5"/>
    <x v="0"/>
    <x v="1"/>
    <x v="2"/>
    <x v="4"/>
    <n v="194"/>
    <n v="35"/>
    <n v="6790"/>
    <n v="342.32"/>
    <n v="2204.5"/>
    <s v="Returned"/>
  </r>
  <r>
    <n v="9362"/>
    <d v="2025-03-30T00:00:00"/>
    <x v="0"/>
    <x v="6"/>
    <x v="1"/>
    <x v="2"/>
    <x v="3"/>
    <x v="9"/>
    <n v="180"/>
    <n v="150"/>
    <n v="27000"/>
    <n v="2606.37"/>
    <n v="5543.45"/>
    <s v="Delivered"/>
  </r>
  <r>
    <n v="9363"/>
    <d v="2025-01-07T00:00:00"/>
    <x v="0"/>
    <x v="3"/>
    <x v="2"/>
    <x v="5"/>
    <x v="2"/>
    <x v="6"/>
    <n v="194"/>
    <n v="140"/>
    <n v="27160"/>
    <n v="1802.18"/>
    <n v="7142.95"/>
    <s v="Returned"/>
  </r>
  <r>
    <n v="9364"/>
    <d v="2025-01-06T00:00:00"/>
    <x v="0"/>
    <x v="3"/>
    <x v="0"/>
    <x v="0"/>
    <x v="2"/>
    <x v="4"/>
    <n v="132"/>
    <n v="35"/>
    <n v="4620"/>
    <n v="232.78"/>
    <n v="1337.49"/>
    <s v="Delivered"/>
  </r>
  <r>
    <n v="9365"/>
    <d v="2025-07-29T00:00:00"/>
    <x v="0"/>
    <x v="11"/>
    <x v="1"/>
    <x v="2"/>
    <x v="1"/>
    <x v="3"/>
    <n v="383"/>
    <n v="60"/>
    <n v="22980"/>
    <n v="2167.9299999999998"/>
    <n v="4399.26"/>
    <s v="Returned"/>
  </r>
  <r>
    <n v="9366"/>
    <d v="2025-04-15T00:00:00"/>
    <x v="0"/>
    <x v="9"/>
    <x v="2"/>
    <x v="3"/>
    <x v="2"/>
    <x v="6"/>
    <n v="455"/>
    <n v="140"/>
    <n v="63700"/>
    <n v="6267.4"/>
    <n v="17461.3"/>
    <s v="Delivered"/>
  </r>
  <r>
    <n v="9367"/>
    <d v="2025-04-09T00:00:00"/>
    <x v="0"/>
    <x v="9"/>
    <x v="2"/>
    <x v="3"/>
    <x v="3"/>
    <x v="12"/>
    <n v="337"/>
    <n v="80"/>
    <n v="26960"/>
    <n v="1408.16"/>
    <n v="8717.01"/>
    <s v="Returned"/>
  </r>
  <r>
    <n v="9368"/>
    <d v="2025-12-06T00:00:00"/>
    <x v="0"/>
    <x v="10"/>
    <x v="1"/>
    <x v="7"/>
    <x v="1"/>
    <x v="5"/>
    <n v="214"/>
    <n v="25"/>
    <n v="5350"/>
    <n v="282.75"/>
    <n v="1518.74"/>
    <s v="Delivered"/>
  </r>
  <r>
    <n v="9369"/>
    <d v="2025-07-15T00:00:00"/>
    <x v="0"/>
    <x v="11"/>
    <x v="0"/>
    <x v="1"/>
    <x v="1"/>
    <x v="8"/>
    <n v="474"/>
    <n v="45"/>
    <n v="21330"/>
    <n v="1858.09"/>
    <n v="6599.6"/>
    <s v="Returned"/>
  </r>
  <r>
    <n v="9370"/>
    <d v="2025-03-20T00:00:00"/>
    <x v="0"/>
    <x v="6"/>
    <x v="1"/>
    <x v="7"/>
    <x v="2"/>
    <x v="4"/>
    <n v="480"/>
    <n v="35"/>
    <n v="16800"/>
    <n v="1660.99"/>
    <n v="4653.62"/>
    <s v="Delivered"/>
  </r>
  <r>
    <n v="9371"/>
    <d v="2025-10-09T00:00:00"/>
    <x v="0"/>
    <x v="4"/>
    <x v="1"/>
    <x v="2"/>
    <x v="0"/>
    <x v="10"/>
    <n v="315"/>
    <n v="300"/>
    <n v="94500"/>
    <n v="7315.02"/>
    <n v="21115.22"/>
    <s v="Delivered"/>
  </r>
  <r>
    <n v="9372"/>
    <d v="2025-12-25T00:00:00"/>
    <x v="0"/>
    <x v="10"/>
    <x v="2"/>
    <x v="3"/>
    <x v="1"/>
    <x v="3"/>
    <n v="350"/>
    <n v="60"/>
    <n v="21000"/>
    <n v="1733.34"/>
    <n v="5188.58"/>
    <s v="Delivered"/>
  </r>
  <r>
    <n v="9373"/>
    <d v="2025-01-27T00:00:00"/>
    <x v="0"/>
    <x v="3"/>
    <x v="1"/>
    <x v="7"/>
    <x v="2"/>
    <x v="4"/>
    <n v="313"/>
    <n v="35"/>
    <n v="10955"/>
    <n v="1030.49"/>
    <n v="2046.32"/>
    <s v="Delivered"/>
  </r>
  <r>
    <n v="9374"/>
    <d v="2025-11-02T00:00:00"/>
    <x v="0"/>
    <x v="2"/>
    <x v="2"/>
    <x v="3"/>
    <x v="1"/>
    <x v="5"/>
    <n v="203"/>
    <n v="25"/>
    <n v="5075"/>
    <n v="256.18"/>
    <n v="1198.25"/>
    <s v="Delivered"/>
  </r>
  <r>
    <n v="9375"/>
    <d v="2025-09-25T00:00:00"/>
    <x v="0"/>
    <x v="5"/>
    <x v="1"/>
    <x v="7"/>
    <x v="2"/>
    <x v="4"/>
    <n v="357"/>
    <n v="35"/>
    <n v="12495"/>
    <n v="948.34"/>
    <n v="2683.12"/>
    <s v="Delivered"/>
  </r>
  <r>
    <n v="9376"/>
    <d v="2025-06-26T00:00:00"/>
    <x v="0"/>
    <x v="8"/>
    <x v="2"/>
    <x v="3"/>
    <x v="1"/>
    <x v="8"/>
    <n v="324"/>
    <n v="45"/>
    <n v="14580"/>
    <n v="1282.25"/>
    <n v="2526.37"/>
    <s v="Returned"/>
  </r>
  <r>
    <n v="9377"/>
    <d v="2025-11-10T00:00:00"/>
    <x v="0"/>
    <x v="2"/>
    <x v="1"/>
    <x v="2"/>
    <x v="3"/>
    <x v="9"/>
    <n v="85"/>
    <n v="150"/>
    <n v="12750"/>
    <n v="1272.77"/>
    <n v="2617.58"/>
    <s v="Returned"/>
  </r>
  <r>
    <n v="9378"/>
    <d v="2025-05-11T00:00:00"/>
    <x v="0"/>
    <x v="0"/>
    <x v="0"/>
    <x v="0"/>
    <x v="2"/>
    <x v="4"/>
    <n v="54"/>
    <n v="35"/>
    <n v="1890"/>
    <n v="152.35"/>
    <n v="410.75"/>
    <s v="Delivered"/>
  </r>
  <r>
    <n v="9379"/>
    <d v="2025-11-02T00:00:00"/>
    <x v="0"/>
    <x v="2"/>
    <x v="1"/>
    <x v="4"/>
    <x v="0"/>
    <x v="0"/>
    <n v="154"/>
    <n v="350"/>
    <n v="53900"/>
    <n v="3130.56"/>
    <n v="17634.2"/>
    <s v="Returned"/>
  </r>
  <r>
    <n v="9380"/>
    <d v="2025-03-23T00:00:00"/>
    <x v="0"/>
    <x v="6"/>
    <x v="2"/>
    <x v="3"/>
    <x v="3"/>
    <x v="12"/>
    <n v="279"/>
    <n v="80"/>
    <n v="22320"/>
    <n v="1245.73"/>
    <n v="6112.76"/>
    <s v="Returned"/>
  </r>
  <r>
    <n v="9381"/>
    <d v="2025-02-25T00:00:00"/>
    <x v="0"/>
    <x v="7"/>
    <x v="0"/>
    <x v="0"/>
    <x v="1"/>
    <x v="5"/>
    <n v="241"/>
    <n v="25"/>
    <n v="6025"/>
    <n v="431.95"/>
    <n v="1536.26"/>
    <s v="Returned"/>
  </r>
  <r>
    <n v="9382"/>
    <d v="2025-02-05T00:00:00"/>
    <x v="0"/>
    <x v="7"/>
    <x v="1"/>
    <x v="7"/>
    <x v="2"/>
    <x v="4"/>
    <n v="367"/>
    <n v="35"/>
    <n v="12845"/>
    <n v="1001.31"/>
    <n v="3519.59"/>
    <s v="Returned"/>
  </r>
  <r>
    <n v="9383"/>
    <d v="2025-07-14T00:00:00"/>
    <x v="0"/>
    <x v="11"/>
    <x v="2"/>
    <x v="6"/>
    <x v="0"/>
    <x v="0"/>
    <n v="42"/>
    <n v="350"/>
    <n v="14700"/>
    <n v="1426.23"/>
    <n v="4181.5"/>
    <s v="Delivered"/>
  </r>
  <r>
    <n v="9384"/>
    <d v="2025-02-19T00:00:00"/>
    <x v="0"/>
    <x v="7"/>
    <x v="2"/>
    <x v="6"/>
    <x v="3"/>
    <x v="7"/>
    <n v="187"/>
    <n v="55"/>
    <n v="10285"/>
    <n v="802.8"/>
    <n v="1794.9"/>
    <s v="Returned"/>
  </r>
  <r>
    <n v="9385"/>
    <d v="2025-05-23T00:00:00"/>
    <x v="0"/>
    <x v="0"/>
    <x v="1"/>
    <x v="8"/>
    <x v="3"/>
    <x v="9"/>
    <n v="308"/>
    <n v="150"/>
    <n v="46200"/>
    <n v="4337.47"/>
    <n v="11478.31"/>
    <s v="Delivered"/>
  </r>
  <r>
    <n v="9386"/>
    <d v="2025-03-31T00:00:00"/>
    <x v="0"/>
    <x v="6"/>
    <x v="1"/>
    <x v="8"/>
    <x v="1"/>
    <x v="2"/>
    <n v="298"/>
    <n v="50"/>
    <n v="14900"/>
    <n v="1389.55"/>
    <n v="4471.42"/>
    <s v="Delivered"/>
  </r>
  <r>
    <n v="9387"/>
    <d v="2025-10-06T00:00:00"/>
    <x v="0"/>
    <x v="4"/>
    <x v="0"/>
    <x v="1"/>
    <x v="1"/>
    <x v="3"/>
    <n v="269"/>
    <n v="60"/>
    <n v="16140"/>
    <n v="1326.49"/>
    <n v="3574.81"/>
    <s v="Delivered"/>
  </r>
  <r>
    <n v="9388"/>
    <d v="2025-05-24T00:00:00"/>
    <x v="0"/>
    <x v="0"/>
    <x v="2"/>
    <x v="3"/>
    <x v="1"/>
    <x v="2"/>
    <n v="149"/>
    <n v="50"/>
    <n v="7450"/>
    <n v="647.66999999999996"/>
    <n v="2131.0100000000002"/>
    <s v="Delivered"/>
  </r>
  <r>
    <n v="9389"/>
    <d v="2025-12-08T00:00:00"/>
    <x v="0"/>
    <x v="10"/>
    <x v="2"/>
    <x v="5"/>
    <x v="0"/>
    <x v="10"/>
    <n v="446"/>
    <n v="300"/>
    <n v="133800"/>
    <n v="8578.9699999999993"/>
    <n v="32877.379999999997"/>
    <s v="Returned"/>
  </r>
  <r>
    <n v="9390"/>
    <d v="2025-02-16T00:00:00"/>
    <x v="0"/>
    <x v="7"/>
    <x v="1"/>
    <x v="8"/>
    <x v="1"/>
    <x v="5"/>
    <n v="366"/>
    <n v="25"/>
    <n v="9150"/>
    <n v="758.16"/>
    <n v="2403.25"/>
    <s v="Delivered"/>
  </r>
  <r>
    <n v="9391"/>
    <d v="2025-03-15T00:00:00"/>
    <x v="0"/>
    <x v="6"/>
    <x v="1"/>
    <x v="2"/>
    <x v="1"/>
    <x v="8"/>
    <n v="365"/>
    <n v="45"/>
    <n v="16425"/>
    <n v="1562.71"/>
    <n v="4879.8100000000004"/>
    <s v="Delivered"/>
  </r>
  <r>
    <n v="9392"/>
    <d v="2025-05-04T00:00:00"/>
    <x v="0"/>
    <x v="0"/>
    <x v="1"/>
    <x v="7"/>
    <x v="3"/>
    <x v="7"/>
    <n v="454"/>
    <n v="55"/>
    <n v="24970"/>
    <n v="1426.6"/>
    <n v="5823.47"/>
    <s v="Returned"/>
  </r>
  <r>
    <n v="9393"/>
    <d v="2025-04-14T00:00:00"/>
    <x v="0"/>
    <x v="9"/>
    <x v="2"/>
    <x v="6"/>
    <x v="2"/>
    <x v="6"/>
    <n v="337"/>
    <n v="140"/>
    <n v="47180"/>
    <n v="4717.1000000000004"/>
    <n v="9589.19"/>
    <s v="Returned"/>
  </r>
  <r>
    <n v="9394"/>
    <d v="2025-12-21T00:00:00"/>
    <x v="0"/>
    <x v="10"/>
    <x v="2"/>
    <x v="5"/>
    <x v="3"/>
    <x v="9"/>
    <n v="121"/>
    <n v="150"/>
    <n v="18150"/>
    <n v="980.09"/>
    <n v="5983.95"/>
    <s v="Delivered"/>
  </r>
  <r>
    <n v="9395"/>
    <d v="2025-05-29T00:00:00"/>
    <x v="0"/>
    <x v="0"/>
    <x v="1"/>
    <x v="4"/>
    <x v="1"/>
    <x v="8"/>
    <n v="28"/>
    <n v="45"/>
    <n v="1260"/>
    <n v="63.14"/>
    <n v="375.61"/>
    <s v="Delivered"/>
  </r>
  <r>
    <n v="9396"/>
    <d v="2025-08-28T00:00:00"/>
    <x v="0"/>
    <x v="1"/>
    <x v="1"/>
    <x v="7"/>
    <x v="1"/>
    <x v="3"/>
    <n v="145"/>
    <n v="60"/>
    <n v="8700"/>
    <n v="489.15"/>
    <n v="2810.6"/>
    <s v="Delivered"/>
  </r>
  <r>
    <n v="9397"/>
    <d v="2025-11-18T00:00:00"/>
    <x v="0"/>
    <x v="2"/>
    <x v="2"/>
    <x v="6"/>
    <x v="3"/>
    <x v="9"/>
    <n v="436"/>
    <n v="150"/>
    <n v="65400"/>
    <n v="3906.75"/>
    <n v="22010.16"/>
    <s v="Delivered"/>
  </r>
  <r>
    <n v="9398"/>
    <d v="2025-04-05T00:00:00"/>
    <x v="0"/>
    <x v="9"/>
    <x v="2"/>
    <x v="3"/>
    <x v="1"/>
    <x v="2"/>
    <n v="460"/>
    <n v="50"/>
    <n v="23000"/>
    <n v="2038.57"/>
    <n v="4898.1099999999997"/>
    <s v="Delivered"/>
  </r>
  <r>
    <n v="9399"/>
    <d v="2025-02-18T00:00:00"/>
    <x v="0"/>
    <x v="7"/>
    <x v="1"/>
    <x v="7"/>
    <x v="1"/>
    <x v="5"/>
    <n v="427"/>
    <n v="25"/>
    <n v="10675"/>
    <n v="948.03"/>
    <n v="2493.4"/>
    <s v="Delivered"/>
  </r>
  <r>
    <n v="9400"/>
    <d v="2025-12-07T00:00:00"/>
    <x v="0"/>
    <x v="10"/>
    <x v="1"/>
    <x v="4"/>
    <x v="1"/>
    <x v="1"/>
    <n v="32"/>
    <n v="420"/>
    <n v="13440"/>
    <n v="804.45"/>
    <n v="4138.71"/>
    <s v="Delivered"/>
  </r>
  <r>
    <n v="9401"/>
    <d v="2025-11-06T00:00:00"/>
    <x v="0"/>
    <x v="2"/>
    <x v="1"/>
    <x v="7"/>
    <x v="2"/>
    <x v="4"/>
    <n v="418"/>
    <n v="35"/>
    <n v="14630"/>
    <n v="909.8"/>
    <n v="2888.84"/>
    <s v="Returned"/>
  </r>
  <r>
    <n v="9402"/>
    <d v="2025-03-12T00:00:00"/>
    <x v="0"/>
    <x v="6"/>
    <x v="1"/>
    <x v="2"/>
    <x v="1"/>
    <x v="3"/>
    <n v="412"/>
    <n v="60"/>
    <n v="24720"/>
    <n v="1876.5"/>
    <n v="5040.58"/>
    <s v="Delivered"/>
  </r>
  <r>
    <n v="9403"/>
    <d v="2025-04-06T00:00:00"/>
    <x v="0"/>
    <x v="9"/>
    <x v="2"/>
    <x v="3"/>
    <x v="1"/>
    <x v="1"/>
    <n v="120"/>
    <n v="420"/>
    <n v="50400"/>
    <n v="4344.6899999999996"/>
    <n v="13091.75"/>
    <s v="Delivered"/>
  </r>
  <r>
    <n v="9404"/>
    <d v="2025-06-03T00:00:00"/>
    <x v="0"/>
    <x v="8"/>
    <x v="1"/>
    <x v="4"/>
    <x v="1"/>
    <x v="8"/>
    <n v="379"/>
    <n v="45"/>
    <n v="17055"/>
    <n v="1181.6300000000001"/>
    <n v="5620.3"/>
    <s v="Delivered"/>
  </r>
  <r>
    <n v="9405"/>
    <d v="2025-08-08T00:00:00"/>
    <x v="0"/>
    <x v="1"/>
    <x v="1"/>
    <x v="7"/>
    <x v="3"/>
    <x v="9"/>
    <n v="14"/>
    <n v="150"/>
    <n v="2100"/>
    <n v="204.01"/>
    <n v="324.12"/>
    <s v="Returned"/>
  </r>
  <r>
    <n v="9406"/>
    <d v="2025-12-31T00:00:00"/>
    <x v="0"/>
    <x v="10"/>
    <x v="2"/>
    <x v="3"/>
    <x v="0"/>
    <x v="11"/>
    <n v="334"/>
    <n v="120"/>
    <n v="40080"/>
    <n v="2188.12"/>
    <n v="8690.0499999999993"/>
    <s v="Returned"/>
  </r>
  <r>
    <n v="9407"/>
    <d v="2025-04-18T00:00:00"/>
    <x v="0"/>
    <x v="9"/>
    <x v="1"/>
    <x v="2"/>
    <x v="3"/>
    <x v="7"/>
    <n v="300"/>
    <n v="55"/>
    <n v="16500"/>
    <n v="1088.46"/>
    <n v="4174.95"/>
    <s v="Delivered"/>
  </r>
  <r>
    <n v="9408"/>
    <d v="2025-04-09T00:00:00"/>
    <x v="0"/>
    <x v="9"/>
    <x v="2"/>
    <x v="3"/>
    <x v="0"/>
    <x v="0"/>
    <n v="231"/>
    <n v="350"/>
    <n v="80850"/>
    <n v="4747.8"/>
    <n v="16206.69"/>
    <s v="Returned"/>
  </r>
  <r>
    <n v="9409"/>
    <d v="2025-12-12T00:00:00"/>
    <x v="0"/>
    <x v="10"/>
    <x v="1"/>
    <x v="7"/>
    <x v="1"/>
    <x v="5"/>
    <n v="324"/>
    <n v="25"/>
    <n v="8100"/>
    <n v="542.30999999999995"/>
    <n v="2334.79"/>
    <s v="Returned"/>
  </r>
  <r>
    <n v="9410"/>
    <d v="2025-03-11T00:00:00"/>
    <x v="0"/>
    <x v="6"/>
    <x v="1"/>
    <x v="4"/>
    <x v="1"/>
    <x v="3"/>
    <n v="203"/>
    <n v="60"/>
    <n v="12180"/>
    <n v="947.94"/>
    <n v="2760.62"/>
    <s v="Delivered"/>
  </r>
  <r>
    <n v="9411"/>
    <d v="2025-08-15T00:00:00"/>
    <x v="0"/>
    <x v="1"/>
    <x v="0"/>
    <x v="0"/>
    <x v="2"/>
    <x v="6"/>
    <n v="354"/>
    <n v="140"/>
    <n v="49560"/>
    <n v="3871.37"/>
    <n v="13249.62"/>
    <s v="Delivered"/>
  </r>
  <r>
    <n v="9412"/>
    <d v="2025-03-28T00:00:00"/>
    <x v="0"/>
    <x v="6"/>
    <x v="0"/>
    <x v="1"/>
    <x v="1"/>
    <x v="1"/>
    <n v="94"/>
    <n v="420"/>
    <n v="39480"/>
    <n v="3758.4"/>
    <n v="9961.83"/>
    <s v="Delivered"/>
  </r>
  <r>
    <n v="9413"/>
    <d v="2025-07-01T00:00:00"/>
    <x v="0"/>
    <x v="11"/>
    <x v="1"/>
    <x v="2"/>
    <x v="0"/>
    <x v="11"/>
    <n v="216"/>
    <n v="120"/>
    <n v="25920"/>
    <n v="2243.56"/>
    <n v="5311.76"/>
    <s v="Returned"/>
  </r>
  <r>
    <n v="9414"/>
    <d v="2025-04-20T00:00:00"/>
    <x v="0"/>
    <x v="9"/>
    <x v="0"/>
    <x v="1"/>
    <x v="1"/>
    <x v="2"/>
    <n v="170"/>
    <n v="50"/>
    <n v="8500"/>
    <n v="581.41"/>
    <n v="1754.45"/>
    <s v="Delivered"/>
  </r>
  <r>
    <n v="9415"/>
    <d v="2025-02-12T00:00:00"/>
    <x v="0"/>
    <x v="7"/>
    <x v="2"/>
    <x v="3"/>
    <x v="0"/>
    <x v="0"/>
    <n v="253"/>
    <n v="350"/>
    <n v="88550"/>
    <n v="7136.63"/>
    <n v="27415.94"/>
    <s v="Returned"/>
  </r>
  <r>
    <n v="9416"/>
    <d v="2025-07-13T00:00:00"/>
    <x v="0"/>
    <x v="11"/>
    <x v="2"/>
    <x v="5"/>
    <x v="1"/>
    <x v="1"/>
    <n v="170"/>
    <n v="420"/>
    <n v="71400"/>
    <n v="5483.83"/>
    <n v="20771.810000000001"/>
    <s v="Delivered"/>
  </r>
  <r>
    <n v="9417"/>
    <d v="2025-10-28T00:00:00"/>
    <x v="0"/>
    <x v="4"/>
    <x v="0"/>
    <x v="0"/>
    <x v="0"/>
    <x v="0"/>
    <n v="246"/>
    <n v="350"/>
    <n v="86100"/>
    <n v="7691.69"/>
    <n v="14890.52"/>
    <s v="Returned"/>
  </r>
  <r>
    <n v="9418"/>
    <d v="2025-07-13T00:00:00"/>
    <x v="0"/>
    <x v="11"/>
    <x v="1"/>
    <x v="7"/>
    <x v="0"/>
    <x v="0"/>
    <n v="20"/>
    <n v="350"/>
    <n v="7000"/>
    <n v="610.29"/>
    <n v="1781.35"/>
    <s v="Delivered"/>
  </r>
  <r>
    <n v="9419"/>
    <d v="2025-06-22T00:00:00"/>
    <x v="0"/>
    <x v="8"/>
    <x v="2"/>
    <x v="3"/>
    <x v="0"/>
    <x v="11"/>
    <n v="78"/>
    <n v="120"/>
    <n v="9360"/>
    <n v="740.64"/>
    <n v="1668.4"/>
    <s v="Returned"/>
  </r>
  <r>
    <n v="9420"/>
    <d v="2025-07-15T00:00:00"/>
    <x v="0"/>
    <x v="11"/>
    <x v="0"/>
    <x v="1"/>
    <x v="2"/>
    <x v="4"/>
    <n v="350"/>
    <n v="35"/>
    <n v="12250"/>
    <n v="1012.18"/>
    <n v="2455.9499999999998"/>
    <s v="Delivered"/>
  </r>
  <r>
    <n v="9421"/>
    <d v="2025-01-16T00:00:00"/>
    <x v="0"/>
    <x v="3"/>
    <x v="0"/>
    <x v="1"/>
    <x v="1"/>
    <x v="1"/>
    <n v="398"/>
    <n v="420"/>
    <n v="167160"/>
    <n v="12427.58"/>
    <n v="52213.9"/>
    <s v="Returned"/>
  </r>
  <r>
    <n v="9422"/>
    <d v="2025-06-29T00:00:00"/>
    <x v="0"/>
    <x v="8"/>
    <x v="2"/>
    <x v="5"/>
    <x v="1"/>
    <x v="1"/>
    <n v="116"/>
    <n v="420"/>
    <n v="48720"/>
    <n v="3623.26"/>
    <n v="11894.89"/>
    <s v="Returned"/>
  </r>
  <r>
    <n v="9423"/>
    <d v="2025-10-07T00:00:00"/>
    <x v="0"/>
    <x v="4"/>
    <x v="1"/>
    <x v="2"/>
    <x v="2"/>
    <x v="6"/>
    <n v="169"/>
    <n v="140"/>
    <n v="23660"/>
    <n v="1204.08"/>
    <n v="7769.61"/>
    <s v="Returned"/>
  </r>
  <r>
    <n v="9424"/>
    <d v="2025-03-18T00:00:00"/>
    <x v="0"/>
    <x v="6"/>
    <x v="2"/>
    <x v="5"/>
    <x v="3"/>
    <x v="7"/>
    <n v="410"/>
    <n v="55"/>
    <n v="22550"/>
    <n v="1145.3399999999999"/>
    <n v="6574.98"/>
    <s v="Delivered"/>
  </r>
  <r>
    <n v="9425"/>
    <d v="2025-05-12T00:00:00"/>
    <x v="0"/>
    <x v="0"/>
    <x v="2"/>
    <x v="3"/>
    <x v="2"/>
    <x v="4"/>
    <n v="397"/>
    <n v="35"/>
    <n v="13895"/>
    <n v="1206.3499999999999"/>
    <n v="3289.26"/>
    <s v="Returned"/>
  </r>
  <r>
    <n v="9426"/>
    <d v="2025-03-19T00:00:00"/>
    <x v="0"/>
    <x v="6"/>
    <x v="1"/>
    <x v="2"/>
    <x v="2"/>
    <x v="4"/>
    <n v="282"/>
    <n v="35"/>
    <n v="9870"/>
    <n v="895.36"/>
    <n v="2369.2399999999998"/>
    <s v="Returned"/>
  </r>
  <r>
    <n v="9427"/>
    <d v="2025-01-14T00:00:00"/>
    <x v="0"/>
    <x v="3"/>
    <x v="1"/>
    <x v="8"/>
    <x v="0"/>
    <x v="0"/>
    <n v="208"/>
    <n v="350"/>
    <n v="72800"/>
    <n v="7022.86"/>
    <n v="19055.669999999998"/>
    <s v="Delivered"/>
  </r>
  <r>
    <n v="9428"/>
    <d v="2025-09-23T00:00:00"/>
    <x v="0"/>
    <x v="5"/>
    <x v="2"/>
    <x v="3"/>
    <x v="3"/>
    <x v="7"/>
    <n v="235"/>
    <n v="55"/>
    <n v="12925"/>
    <n v="1225.08"/>
    <n v="2369.4299999999998"/>
    <s v="Delivered"/>
  </r>
  <r>
    <n v="9429"/>
    <d v="2025-09-11T00:00:00"/>
    <x v="0"/>
    <x v="5"/>
    <x v="2"/>
    <x v="5"/>
    <x v="3"/>
    <x v="9"/>
    <n v="446"/>
    <n v="150"/>
    <n v="66900"/>
    <n v="6011.4"/>
    <n v="14381.14"/>
    <s v="Delivered"/>
  </r>
  <r>
    <n v="9430"/>
    <d v="2025-02-04T00:00:00"/>
    <x v="0"/>
    <x v="7"/>
    <x v="2"/>
    <x v="6"/>
    <x v="3"/>
    <x v="9"/>
    <n v="214"/>
    <n v="150"/>
    <n v="32100"/>
    <n v="1633.07"/>
    <n v="8461.64"/>
    <s v="Delivered"/>
  </r>
  <r>
    <n v="9431"/>
    <d v="2025-08-01T00:00:00"/>
    <x v="0"/>
    <x v="1"/>
    <x v="2"/>
    <x v="6"/>
    <x v="3"/>
    <x v="12"/>
    <n v="479"/>
    <n v="80"/>
    <n v="38320"/>
    <n v="3817.07"/>
    <n v="9599.49"/>
    <s v="Delivered"/>
  </r>
  <r>
    <n v="9432"/>
    <d v="2025-08-28T00:00:00"/>
    <x v="0"/>
    <x v="1"/>
    <x v="1"/>
    <x v="4"/>
    <x v="3"/>
    <x v="12"/>
    <n v="407"/>
    <n v="80"/>
    <n v="32560"/>
    <n v="2758.19"/>
    <n v="7546.24"/>
    <s v="Returned"/>
  </r>
  <r>
    <n v="9433"/>
    <d v="2025-08-01T00:00:00"/>
    <x v="0"/>
    <x v="1"/>
    <x v="2"/>
    <x v="5"/>
    <x v="1"/>
    <x v="1"/>
    <n v="258"/>
    <n v="420"/>
    <n v="108360"/>
    <n v="8500.73"/>
    <n v="20019.78"/>
    <s v="Delivered"/>
  </r>
  <r>
    <n v="9434"/>
    <d v="2025-04-30T00:00:00"/>
    <x v="0"/>
    <x v="9"/>
    <x v="2"/>
    <x v="6"/>
    <x v="1"/>
    <x v="1"/>
    <n v="376"/>
    <n v="420"/>
    <n v="157920"/>
    <n v="14245.9"/>
    <n v="33873.22"/>
    <s v="Delivered"/>
  </r>
  <r>
    <n v="9435"/>
    <d v="2025-06-22T00:00:00"/>
    <x v="0"/>
    <x v="8"/>
    <x v="1"/>
    <x v="2"/>
    <x v="3"/>
    <x v="7"/>
    <n v="374"/>
    <n v="55"/>
    <n v="20570"/>
    <n v="1573.02"/>
    <n v="4321.75"/>
    <s v="Delivered"/>
  </r>
  <r>
    <n v="9436"/>
    <d v="2025-12-31T00:00:00"/>
    <x v="0"/>
    <x v="10"/>
    <x v="1"/>
    <x v="2"/>
    <x v="2"/>
    <x v="6"/>
    <n v="323"/>
    <n v="140"/>
    <n v="45220"/>
    <n v="3363.64"/>
    <n v="10159.66"/>
    <s v="Returned"/>
  </r>
  <r>
    <n v="9437"/>
    <d v="2025-06-16T00:00:00"/>
    <x v="0"/>
    <x v="8"/>
    <x v="1"/>
    <x v="2"/>
    <x v="1"/>
    <x v="3"/>
    <n v="302"/>
    <n v="60"/>
    <n v="18120"/>
    <n v="1624.63"/>
    <n v="4961.2700000000004"/>
    <s v="Returned"/>
  </r>
  <r>
    <n v="9438"/>
    <d v="2025-05-10T00:00:00"/>
    <x v="0"/>
    <x v="0"/>
    <x v="2"/>
    <x v="3"/>
    <x v="1"/>
    <x v="3"/>
    <n v="299"/>
    <n v="60"/>
    <n v="17940"/>
    <n v="1115.5899999999999"/>
    <n v="5258.58"/>
    <s v="Returned"/>
  </r>
  <r>
    <n v="9439"/>
    <d v="2025-10-05T00:00:00"/>
    <x v="0"/>
    <x v="4"/>
    <x v="2"/>
    <x v="3"/>
    <x v="0"/>
    <x v="0"/>
    <n v="401"/>
    <n v="350"/>
    <n v="140350"/>
    <n v="13052.89"/>
    <n v="42097.54"/>
    <s v="Delivered"/>
  </r>
  <r>
    <n v="9440"/>
    <d v="2025-10-10T00:00:00"/>
    <x v="0"/>
    <x v="4"/>
    <x v="0"/>
    <x v="0"/>
    <x v="3"/>
    <x v="12"/>
    <n v="477"/>
    <n v="80"/>
    <n v="38160"/>
    <n v="3429.93"/>
    <n v="11662.22"/>
    <s v="Returned"/>
  </r>
  <r>
    <n v="9441"/>
    <d v="2025-09-27T00:00:00"/>
    <x v="0"/>
    <x v="5"/>
    <x v="2"/>
    <x v="5"/>
    <x v="1"/>
    <x v="2"/>
    <n v="258"/>
    <n v="50"/>
    <n v="12900"/>
    <n v="1199.54"/>
    <n v="2193.34"/>
    <s v="Returned"/>
  </r>
  <r>
    <n v="9442"/>
    <d v="2025-10-01T00:00:00"/>
    <x v="0"/>
    <x v="4"/>
    <x v="1"/>
    <x v="2"/>
    <x v="0"/>
    <x v="10"/>
    <n v="398"/>
    <n v="300"/>
    <n v="119400"/>
    <n v="8576.48"/>
    <n v="37519.22"/>
    <s v="Returned"/>
  </r>
  <r>
    <n v="9443"/>
    <d v="2025-02-04T00:00:00"/>
    <x v="0"/>
    <x v="7"/>
    <x v="1"/>
    <x v="7"/>
    <x v="1"/>
    <x v="5"/>
    <n v="271"/>
    <n v="25"/>
    <n v="6775"/>
    <n v="522.46"/>
    <n v="1235.92"/>
    <s v="Returned"/>
  </r>
  <r>
    <n v="9444"/>
    <d v="2025-08-08T00:00:00"/>
    <x v="0"/>
    <x v="1"/>
    <x v="2"/>
    <x v="5"/>
    <x v="1"/>
    <x v="3"/>
    <n v="283"/>
    <n v="60"/>
    <n v="16980"/>
    <n v="1217.43"/>
    <n v="3255.13"/>
    <s v="Returned"/>
  </r>
  <r>
    <n v="9445"/>
    <d v="2025-09-15T00:00:00"/>
    <x v="0"/>
    <x v="5"/>
    <x v="1"/>
    <x v="2"/>
    <x v="2"/>
    <x v="6"/>
    <n v="63"/>
    <n v="140"/>
    <n v="8820"/>
    <n v="481.64"/>
    <n v="2085.85"/>
    <s v="Returned"/>
  </r>
  <r>
    <n v="9446"/>
    <d v="2025-02-22T00:00:00"/>
    <x v="0"/>
    <x v="7"/>
    <x v="2"/>
    <x v="6"/>
    <x v="3"/>
    <x v="12"/>
    <n v="221"/>
    <n v="80"/>
    <n v="17680"/>
    <n v="1325.46"/>
    <n v="3421.05"/>
    <s v="Returned"/>
  </r>
  <r>
    <n v="9447"/>
    <d v="2025-10-09T00:00:00"/>
    <x v="0"/>
    <x v="4"/>
    <x v="2"/>
    <x v="5"/>
    <x v="0"/>
    <x v="0"/>
    <n v="478"/>
    <n v="350"/>
    <n v="167300"/>
    <n v="13846.05"/>
    <n v="37952.33"/>
    <s v="Returned"/>
  </r>
  <r>
    <n v="9448"/>
    <d v="2025-07-25T00:00:00"/>
    <x v="0"/>
    <x v="11"/>
    <x v="0"/>
    <x v="0"/>
    <x v="1"/>
    <x v="8"/>
    <n v="285"/>
    <n v="45"/>
    <n v="12825"/>
    <n v="961.06"/>
    <n v="3089.4"/>
    <s v="Delivered"/>
  </r>
  <r>
    <n v="9449"/>
    <d v="2025-11-07T00:00:00"/>
    <x v="0"/>
    <x v="2"/>
    <x v="2"/>
    <x v="3"/>
    <x v="2"/>
    <x v="6"/>
    <n v="172"/>
    <n v="140"/>
    <n v="24080"/>
    <n v="2321.2399999999998"/>
    <n v="7238.14"/>
    <s v="Returned"/>
  </r>
  <r>
    <n v="9450"/>
    <d v="2025-03-10T00:00:00"/>
    <x v="0"/>
    <x v="6"/>
    <x v="1"/>
    <x v="8"/>
    <x v="0"/>
    <x v="10"/>
    <n v="246"/>
    <n v="300"/>
    <n v="73800"/>
    <n v="6778.12"/>
    <n v="20147.28"/>
    <s v="Returned"/>
  </r>
  <r>
    <n v="9451"/>
    <d v="2025-04-24T00:00:00"/>
    <x v="0"/>
    <x v="9"/>
    <x v="1"/>
    <x v="4"/>
    <x v="0"/>
    <x v="10"/>
    <n v="164"/>
    <n v="300"/>
    <n v="49200"/>
    <n v="3514.16"/>
    <n v="13622.16"/>
    <s v="Delivered"/>
  </r>
  <r>
    <n v="9452"/>
    <d v="2025-09-05T00:00:00"/>
    <x v="0"/>
    <x v="5"/>
    <x v="0"/>
    <x v="0"/>
    <x v="1"/>
    <x v="2"/>
    <n v="446"/>
    <n v="50"/>
    <n v="22300"/>
    <n v="1887.82"/>
    <n v="6920.84"/>
    <s v="Delivered"/>
  </r>
  <r>
    <n v="9453"/>
    <d v="2025-09-07T00:00:00"/>
    <x v="0"/>
    <x v="5"/>
    <x v="1"/>
    <x v="4"/>
    <x v="0"/>
    <x v="0"/>
    <n v="332"/>
    <n v="350"/>
    <n v="116200"/>
    <n v="9930.66"/>
    <n v="22761.7"/>
    <s v="Returned"/>
  </r>
  <r>
    <n v="9454"/>
    <d v="2025-10-08T00:00:00"/>
    <x v="0"/>
    <x v="4"/>
    <x v="0"/>
    <x v="0"/>
    <x v="0"/>
    <x v="10"/>
    <n v="400"/>
    <n v="300"/>
    <n v="120000"/>
    <n v="7595.5"/>
    <n v="37747.910000000003"/>
    <s v="Returned"/>
  </r>
  <r>
    <n v="9455"/>
    <d v="2025-10-15T00:00:00"/>
    <x v="0"/>
    <x v="4"/>
    <x v="2"/>
    <x v="6"/>
    <x v="2"/>
    <x v="6"/>
    <n v="290"/>
    <n v="140"/>
    <n v="40600"/>
    <n v="3394.27"/>
    <n v="8067.87"/>
    <s v="Returned"/>
  </r>
  <r>
    <n v="9456"/>
    <d v="2025-11-06T00:00:00"/>
    <x v="0"/>
    <x v="2"/>
    <x v="1"/>
    <x v="2"/>
    <x v="1"/>
    <x v="5"/>
    <n v="118"/>
    <n v="25"/>
    <n v="2950"/>
    <n v="244.63"/>
    <n v="890.15"/>
    <s v="Delivered"/>
  </r>
  <r>
    <n v="9457"/>
    <d v="2025-01-26T00:00:00"/>
    <x v="0"/>
    <x v="3"/>
    <x v="2"/>
    <x v="6"/>
    <x v="2"/>
    <x v="6"/>
    <n v="76"/>
    <n v="140"/>
    <n v="10640"/>
    <n v="611.41"/>
    <n v="2858.33"/>
    <s v="Returned"/>
  </r>
  <r>
    <n v="9458"/>
    <d v="2025-08-24T00:00:00"/>
    <x v="0"/>
    <x v="1"/>
    <x v="1"/>
    <x v="4"/>
    <x v="3"/>
    <x v="9"/>
    <n v="234"/>
    <n v="150"/>
    <n v="35100"/>
    <n v="2223.8200000000002"/>
    <n v="7766.97"/>
    <s v="Delivered"/>
  </r>
  <r>
    <n v="9459"/>
    <d v="2025-04-27T00:00:00"/>
    <x v="0"/>
    <x v="9"/>
    <x v="1"/>
    <x v="4"/>
    <x v="2"/>
    <x v="6"/>
    <n v="155"/>
    <n v="140"/>
    <n v="21700"/>
    <n v="1473.76"/>
    <n v="6883.8"/>
    <s v="Returned"/>
  </r>
  <r>
    <n v="9460"/>
    <d v="2025-12-03T00:00:00"/>
    <x v="0"/>
    <x v="10"/>
    <x v="2"/>
    <x v="6"/>
    <x v="3"/>
    <x v="12"/>
    <n v="261"/>
    <n v="80"/>
    <n v="20880"/>
    <n v="1294.32"/>
    <n v="5601.85"/>
    <s v="Delivered"/>
  </r>
  <r>
    <n v="9461"/>
    <d v="2025-08-14T00:00:00"/>
    <x v="0"/>
    <x v="1"/>
    <x v="1"/>
    <x v="2"/>
    <x v="1"/>
    <x v="5"/>
    <n v="336"/>
    <n v="25"/>
    <n v="8400"/>
    <n v="540.20000000000005"/>
    <n v="1686.84"/>
    <s v="Returned"/>
  </r>
  <r>
    <n v="9462"/>
    <d v="2025-10-20T00:00:00"/>
    <x v="0"/>
    <x v="4"/>
    <x v="1"/>
    <x v="8"/>
    <x v="1"/>
    <x v="3"/>
    <n v="284"/>
    <n v="60"/>
    <n v="17040"/>
    <n v="1136.25"/>
    <n v="3728.82"/>
    <s v="Returned"/>
  </r>
  <r>
    <n v="9463"/>
    <d v="2025-08-04T00:00:00"/>
    <x v="0"/>
    <x v="1"/>
    <x v="2"/>
    <x v="6"/>
    <x v="3"/>
    <x v="7"/>
    <n v="142"/>
    <n v="55"/>
    <n v="7810"/>
    <n v="710.23"/>
    <n v="1683.23"/>
    <s v="Delivered"/>
  </r>
  <r>
    <n v="9464"/>
    <d v="2025-01-08T00:00:00"/>
    <x v="0"/>
    <x v="3"/>
    <x v="2"/>
    <x v="3"/>
    <x v="3"/>
    <x v="9"/>
    <n v="285"/>
    <n v="150"/>
    <n v="42750"/>
    <n v="3094.71"/>
    <n v="12471.53"/>
    <s v="Delivered"/>
  </r>
  <r>
    <n v="9465"/>
    <d v="2025-08-02T00:00:00"/>
    <x v="0"/>
    <x v="1"/>
    <x v="2"/>
    <x v="6"/>
    <x v="2"/>
    <x v="6"/>
    <n v="173"/>
    <n v="140"/>
    <n v="24220"/>
    <n v="1763.83"/>
    <n v="5415.43"/>
    <s v="Returned"/>
  </r>
  <r>
    <n v="9466"/>
    <d v="2025-03-08T00:00:00"/>
    <x v="0"/>
    <x v="6"/>
    <x v="1"/>
    <x v="7"/>
    <x v="0"/>
    <x v="10"/>
    <n v="294"/>
    <n v="300"/>
    <n v="88200"/>
    <n v="7504.44"/>
    <n v="23380.25"/>
    <s v="Returned"/>
  </r>
  <r>
    <n v="9467"/>
    <d v="2025-09-22T00:00:00"/>
    <x v="0"/>
    <x v="5"/>
    <x v="1"/>
    <x v="8"/>
    <x v="2"/>
    <x v="6"/>
    <n v="15"/>
    <n v="140"/>
    <n v="2100"/>
    <n v="133.22"/>
    <n v="667.85"/>
    <s v="Delivered"/>
  </r>
  <r>
    <n v="9468"/>
    <d v="2025-07-10T00:00:00"/>
    <x v="0"/>
    <x v="11"/>
    <x v="1"/>
    <x v="2"/>
    <x v="1"/>
    <x v="8"/>
    <n v="276"/>
    <n v="45"/>
    <n v="12420"/>
    <n v="1057.49"/>
    <n v="3270.3"/>
    <s v="Delivered"/>
  </r>
  <r>
    <n v="9469"/>
    <d v="2025-03-29T00:00:00"/>
    <x v="0"/>
    <x v="6"/>
    <x v="2"/>
    <x v="6"/>
    <x v="1"/>
    <x v="3"/>
    <n v="364"/>
    <n v="60"/>
    <n v="21840"/>
    <n v="1532.02"/>
    <n v="5909.74"/>
    <s v="Delivered"/>
  </r>
  <r>
    <n v="9470"/>
    <d v="2025-07-18T00:00:00"/>
    <x v="0"/>
    <x v="11"/>
    <x v="0"/>
    <x v="1"/>
    <x v="3"/>
    <x v="12"/>
    <n v="319"/>
    <n v="80"/>
    <n v="25520"/>
    <n v="1878.91"/>
    <n v="4722.83"/>
    <s v="Returned"/>
  </r>
  <r>
    <n v="9471"/>
    <d v="2025-10-29T00:00:00"/>
    <x v="0"/>
    <x v="4"/>
    <x v="2"/>
    <x v="6"/>
    <x v="1"/>
    <x v="5"/>
    <n v="445"/>
    <n v="25"/>
    <n v="11125"/>
    <n v="695.56"/>
    <n v="2357.31"/>
    <s v="Delivered"/>
  </r>
  <r>
    <n v="9472"/>
    <d v="2025-05-30T00:00:00"/>
    <x v="0"/>
    <x v="0"/>
    <x v="2"/>
    <x v="6"/>
    <x v="1"/>
    <x v="8"/>
    <n v="250"/>
    <n v="45"/>
    <n v="11250"/>
    <n v="1117.6099999999999"/>
    <n v="2410.89"/>
    <s v="Delivered"/>
  </r>
  <r>
    <n v="9473"/>
    <d v="2025-07-02T00:00:00"/>
    <x v="0"/>
    <x v="11"/>
    <x v="1"/>
    <x v="2"/>
    <x v="2"/>
    <x v="6"/>
    <n v="483"/>
    <n v="140"/>
    <n v="67620"/>
    <n v="3518.83"/>
    <n v="16948.650000000001"/>
    <s v="Returned"/>
  </r>
  <r>
    <n v="9474"/>
    <d v="2025-11-26T00:00:00"/>
    <x v="0"/>
    <x v="2"/>
    <x v="0"/>
    <x v="0"/>
    <x v="1"/>
    <x v="1"/>
    <n v="427"/>
    <n v="420"/>
    <n v="179340"/>
    <n v="17259.54"/>
    <n v="33169.769999999997"/>
    <s v="Delivered"/>
  </r>
  <r>
    <n v="9475"/>
    <d v="2025-01-03T00:00:00"/>
    <x v="0"/>
    <x v="3"/>
    <x v="2"/>
    <x v="5"/>
    <x v="0"/>
    <x v="0"/>
    <n v="453"/>
    <n v="350"/>
    <n v="158550"/>
    <n v="11142.33"/>
    <n v="36450.239999999998"/>
    <s v="Delivered"/>
  </r>
  <r>
    <n v="9476"/>
    <d v="2025-01-09T00:00:00"/>
    <x v="0"/>
    <x v="3"/>
    <x v="1"/>
    <x v="7"/>
    <x v="1"/>
    <x v="2"/>
    <n v="171"/>
    <n v="50"/>
    <n v="8550"/>
    <n v="558.05999999999995"/>
    <n v="2161.4899999999998"/>
    <s v="Returned"/>
  </r>
  <r>
    <n v="9477"/>
    <d v="2025-11-09T00:00:00"/>
    <x v="0"/>
    <x v="2"/>
    <x v="0"/>
    <x v="1"/>
    <x v="1"/>
    <x v="8"/>
    <n v="55"/>
    <n v="45"/>
    <n v="2475"/>
    <n v="173.88"/>
    <n v="810.84"/>
    <s v="Delivered"/>
  </r>
  <r>
    <n v="9478"/>
    <d v="2025-01-29T00:00:00"/>
    <x v="0"/>
    <x v="3"/>
    <x v="2"/>
    <x v="5"/>
    <x v="0"/>
    <x v="11"/>
    <n v="58"/>
    <n v="120"/>
    <n v="6960"/>
    <n v="418.19"/>
    <n v="2115.14"/>
    <s v="Returned"/>
  </r>
  <r>
    <n v="9479"/>
    <d v="2025-07-06T00:00:00"/>
    <x v="0"/>
    <x v="11"/>
    <x v="1"/>
    <x v="8"/>
    <x v="1"/>
    <x v="1"/>
    <n v="279"/>
    <n v="420"/>
    <n v="117180"/>
    <n v="11392.98"/>
    <n v="24678.36"/>
    <s v="Returned"/>
  </r>
  <r>
    <n v="9480"/>
    <d v="2025-11-09T00:00:00"/>
    <x v="0"/>
    <x v="2"/>
    <x v="1"/>
    <x v="7"/>
    <x v="0"/>
    <x v="0"/>
    <n v="204"/>
    <n v="350"/>
    <n v="71400"/>
    <n v="7029.25"/>
    <n v="19939.349999999999"/>
    <s v="Returned"/>
  </r>
  <r>
    <n v="9481"/>
    <d v="2025-03-09T00:00:00"/>
    <x v="0"/>
    <x v="6"/>
    <x v="1"/>
    <x v="2"/>
    <x v="0"/>
    <x v="0"/>
    <n v="138"/>
    <n v="350"/>
    <n v="48300"/>
    <n v="4238.96"/>
    <n v="8525.07"/>
    <s v="Returned"/>
  </r>
  <r>
    <n v="9482"/>
    <d v="2025-02-22T00:00:00"/>
    <x v="0"/>
    <x v="7"/>
    <x v="2"/>
    <x v="5"/>
    <x v="0"/>
    <x v="0"/>
    <n v="99"/>
    <n v="350"/>
    <n v="34650"/>
    <n v="3045.5"/>
    <n v="5826.25"/>
    <s v="Returned"/>
  </r>
  <r>
    <n v="9483"/>
    <d v="2025-07-31T00:00:00"/>
    <x v="0"/>
    <x v="11"/>
    <x v="2"/>
    <x v="6"/>
    <x v="3"/>
    <x v="12"/>
    <n v="401"/>
    <n v="80"/>
    <n v="32080"/>
    <n v="2650.91"/>
    <n v="7383.48"/>
    <s v="Delivered"/>
  </r>
  <r>
    <n v="9484"/>
    <d v="2025-04-12T00:00:00"/>
    <x v="0"/>
    <x v="9"/>
    <x v="2"/>
    <x v="6"/>
    <x v="2"/>
    <x v="6"/>
    <n v="19"/>
    <n v="140"/>
    <n v="2660"/>
    <n v="263.17"/>
    <n v="661.03"/>
    <s v="Returned"/>
  </r>
  <r>
    <n v="9485"/>
    <d v="2025-09-06T00:00:00"/>
    <x v="0"/>
    <x v="5"/>
    <x v="1"/>
    <x v="4"/>
    <x v="1"/>
    <x v="3"/>
    <n v="254"/>
    <n v="60"/>
    <n v="15240"/>
    <n v="782.02"/>
    <n v="3454.78"/>
    <s v="Returned"/>
  </r>
  <r>
    <n v="9486"/>
    <d v="2025-09-05T00:00:00"/>
    <x v="0"/>
    <x v="5"/>
    <x v="1"/>
    <x v="2"/>
    <x v="0"/>
    <x v="0"/>
    <n v="387"/>
    <n v="350"/>
    <n v="135450"/>
    <n v="8481.8700000000008"/>
    <n v="26450.09"/>
    <s v="Delivered"/>
  </r>
  <r>
    <n v="9487"/>
    <d v="2025-04-09T00:00:00"/>
    <x v="0"/>
    <x v="9"/>
    <x v="0"/>
    <x v="1"/>
    <x v="1"/>
    <x v="8"/>
    <n v="16"/>
    <n v="45"/>
    <n v="720"/>
    <n v="58.09"/>
    <n v="182.16"/>
    <s v="Returned"/>
  </r>
  <r>
    <n v="9488"/>
    <d v="2025-09-20T00:00:00"/>
    <x v="0"/>
    <x v="5"/>
    <x v="2"/>
    <x v="3"/>
    <x v="1"/>
    <x v="5"/>
    <n v="10"/>
    <n v="25"/>
    <n v="250"/>
    <n v="15.67"/>
    <n v="83.85"/>
    <s v="Returned"/>
  </r>
  <r>
    <n v="9489"/>
    <d v="2025-02-21T00:00:00"/>
    <x v="0"/>
    <x v="7"/>
    <x v="0"/>
    <x v="1"/>
    <x v="3"/>
    <x v="7"/>
    <n v="446"/>
    <n v="55"/>
    <n v="24530"/>
    <n v="1453.17"/>
    <n v="5836.84"/>
    <s v="Delivered"/>
  </r>
  <r>
    <n v="9490"/>
    <d v="2025-12-23T00:00:00"/>
    <x v="0"/>
    <x v="10"/>
    <x v="0"/>
    <x v="0"/>
    <x v="0"/>
    <x v="11"/>
    <n v="70"/>
    <n v="120"/>
    <n v="8400"/>
    <n v="560.38"/>
    <n v="2726.88"/>
    <s v="Delivered"/>
  </r>
  <r>
    <n v="9491"/>
    <d v="2025-01-02T00:00:00"/>
    <x v="0"/>
    <x v="3"/>
    <x v="2"/>
    <x v="6"/>
    <x v="0"/>
    <x v="0"/>
    <n v="476"/>
    <n v="350"/>
    <n v="166600"/>
    <n v="12333.15"/>
    <n v="51116.42"/>
    <s v="Delivered"/>
  </r>
  <r>
    <n v="9492"/>
    <d v="2025-04-01T00:00:00"/>
    <x v="0"/>
    <x v="9"/>
    <x v="0"/>
    <x v="0"/>
    <x v="1"/>
    <x v="8"/>
    <n v="123"/>
    <n v="45"/>
    <n v="5535"/>
    <n v="334.91"/>
    <n v="1858.11"/>
    <s v="Delivered"/>
  </r>
  <r>
    <n v="9493"/>
    <d v="2025-02-03T00:00:00"/>
    <x v="0"/>
    <x v="7"/>
    <x v="0"/>
    <x v="0"/>
    <x v="2"/>
    <x v="4"/>
    <n v="402"/>
    <n v="35"/>
    <n v="14070"/>
    <n v="923.45"/>
    <n v="3515.69"/>
    <s v="Returned"/>
  </r>
  <r>
    <n v="9494"/>
    <d v="2025-08-04T00:00:00"/>
    <x v="0"/>
    <x v="1"/>
    <x v="1"/>
    <x v="2"/>
    <x v="3"/>
    <x v="7"/>
    <n v="123"/>
    <n v="55"/>
    <n v="6765"/>
    <n v="413.26"/>
    <n v="1743.65"/>
    <s v="Delivered"/>
  </r>
  <r>
    <n v="9495"/>
    <d v="2025-12-18T00:00:00"/>
    <x v="0"/>
    <x v="10"/>
    <x v="0"/>
    <x v="1"/>
    <x v="1"/>
    <x v="5"/>
    <n v="51"/>
    <n v="25"/>
    <n v="1275"/>
    <n v="102.75"/>
    <n v="253.02"/>
    <s v="Delivered"/>
  </r>
  <r>
    <n v="9496"/>
    <d v="2025-12-26T00:00:00"/>
    <x v="0"/>
    <x v="10"/>
    <x v="0"/>
    <x v="1"/>
    <x v="0"/>
    <x v="11"/>
    <n v="368"/>
    <n v="120"/>
    <n v="44160"/>
    <n v="2661.25"/>
    <n v="12936.63"/>
    <s v="Returned"/>
  </r>
  <r>
    <n v="9497"/>
    <d v="2025-04-15T00:00:00"/>
    <x v="0"/>
    <x v="9"/>
    <x v="2"/>
    <x v="3"/>
    <x v="0"/>
    <x v="0"/>
    <n v="261"/>
    <n v="350"/>
    <n v="91350"/>
    <n v="8540.2000000000007"/>
    <n v="26235.98"/>
    <s v="Returned"/>
  </r>
  <r>
    <n v="9498"/>
    <d v="2025-11-06T00:00:00"/>
    <x v="0"/>
    <x v="2"/>
    <x v="1"/>
    <x v="7"/>
    <x v="0"/>
    <x v="10"/>
    <n v="378"/>
    <n v="300"/>
    <n v="113400"/>
    <n v="7947.59"/>
    <n v="24545.07"/>
    <s v="Delivered"/>
  </r>
  <r>
    <n v="9499"/>
    <d v="2025-09-05T00:00:00"/>
    <x v="0"/>
    <x v="5"/>
    <x v="1"/>
    <x v="2"/>
    <x v="1"/>
    <x v="5"/>
    <n v="369"/>
    <n v="25"/>
    <n v="9225"/>
    <n v="498.52"/>
    <n v="1845.14"/>
    <s v="Delivered"/>
  </r>
  <r>
    <n v="9500"/>
    <d v="2025-02-14T00:00:00"/>
    <x v="0"/>
    <x v="7"/>
    <x v="2"/>
    <x v="6"/>
    <x v="3"/>
    <x v="9"/>
    <n v="433"/>
    <n v="150"/>
    <n v="64950"/>
    <n v="5439.02"/>
    <n v="19739.53"/>
    <s v="Returned"/>
  </r>
  <r>
    <n v="9501"/>
    <d v="2025-10-16T00:00:00"/>
    <x v="0"/>
    <x v="4"/>
    <x v="1"/>
    <x v="7"/>
    <x v="3"/>
    <x v="7"/>
    <n v="85"/>
    <n v="55"/>
    <n v="4675"/>
    <n v="319.23"/>
    <n v="1245.94"/>
    <s v="Returned"/>
  </r>
  <r>
    <n v="9502"/>
    <d v="2025-04-19T00:00:00"/>
    <x v="0"/>
    <x v="9"/>
    <x v="1"/>
    <x v="2"/>
    <x v="1"/>
    <x v="3"/>
    <n v="385"/>
    <n v="60"/>
    <n v="23100"/>
    <n v="1816.07"/>
    <n v="7164.14"/>
    <s v="Delivered"/>
  </r>
  <r>
    <n v="9503"/>
    <d v="2025-05-26T00:00:00"/>
    <x v="0"/>
    <x v="0"/>
    <x v="0"/>
    <x v="1"/>
    <x v="0"/>
    <x v="11"/>
    <n v="19"/>
    <n v="120"/>
    <n v="2280"/>
    <n v="163.74"/>
    <n v="691.45"/>
    <s v="Returned"/>
  </r>
  <r>
    <n v="9504"/>
    <d v="2025-12-08T00:00:00"/>
    <x v="0"/>
    <x v="10"/>
    <x v="2"/>
    <x v="6"/>
    <x v="1"/>
    <x v="2"/>
    <n v="277"/>
    <n v="50"/>
    <n v="13850"/>
    <n v="1246.3800000000001"/>
    <n v="2252.13"/>
    <s v="Returned"/>
  </r>
  <r>
    <n v="9505"/>
    <d v="2025-12-29T00:00:00"/>
    <x v="0"/>
    <x v="10"/>
    <x v="1"/>
    <x v="7"/>
    <x v="1"/>
    <x v="5"/>
    <n v="234"/>
    <n v="25"/>
    <n v="5850"/>
    <n v="547.49"/>
    <n v="1292.7"/>
    <s v="Returned"/>
  </r>
  <r>
    <n v="9506"/>
    <d v="2025-10-26T00:00:00"/>
    <x v="0"/>
    <x v="4"/>
    <x v="0"/>
    <x v="1"/>
    <x v="1"/>
    <x v="2"/>
    <n v="282"/>
    <n v="50"/>
    <n v="14100"/>
    <n v="1282.81"/>
    <n v="2282.36"/>
    <s v="Returned"/>
  </r>
  <r>
    <n v="9507"/>
    <d v="2025-09-20T00:00:00"/>
    <x v="0"/>
    <x v="5"/>
    <x v="1"/>
    <x v="8"/>
    <x v="3"/>
    <x v="9"/>
    <n v="385"/>
    <n v="150"/>
    <n v="57750"/>
    <n v="4153.46"/>
    <n v="17829.36"/>
    <s v="Returned"/>
  </r>
  <r>
    <n v="9508"/>
    <d v="2025-08-08T00:00:00"/>
    <x v="0"/>
    <x v="1"/>
    <x v="1"/>
    <x v="2"/>
    <x v="1"/>
    <x v="1"/>
    <n v="41"/>
    <n v="420"/>
    <n v="17220"/>
    <n v="1631.69"/>
    <n v="4280.2299999999996"/>
    <s v="Delivered"/>
  </r>
  <r>
    <n v="9509"/>
    <d v="2025-09-01T00:00:00"/>
    <x v="0"/>
    <x v="5"/>
    <x v="2"/>
    <x v="5"/>
    <x v="1"/>
    <x v="3"/>
    <n v="344"/>
    <n v="60"/>
    <n v="20640"/>
    <n v="1359.11"/>
    <n v="4642.8999999999996"/>
    <s v="Delivered"/>
  </r>
  <r>
    <n v="9510"/>
    <d v="2025-07-29T00:00:00"/>
    <x v="0"/>
    <x v="11"/>
    <x v="1"/>
    <x v="7"/>
    <x v="1"/>
    <x v="8"/>
    <n v="342"/>
    <n v="45"/>
    <n v="15390"/>
    <n v="1322.97"/>
    <n v="3115.4"/>
    <s v="Delivered"/>
  </r>
  <r>
    <n v="9511"/>
    <d v="2025-06-10T00:00:00"/>
    <x v="0"/>
    <x v="8"/>
    <x v="1"/>
    <x v="2"/>
    <x v="0"/>
    <x v="11"/>
    <n v="483"/>
    <n v="120"/>
    <n v="57960"/>
    <n v="4655.34"/>
    <n v="13241.54"/>
    <s v="Returned"/>
  </r>
  <r>
    <n v="9512"/>
    <d v="2025-01-11T00:00:00"/>
    <x v="0"/>
    <x v="3"/>
    <x v="2"/>
    <x v="5"/>
    <x v="2"/>
    <x v="4"/>
    <n v="288"/>
    <n v="35"/>
    <n v="10080"/>
    <n v="699.87"/>
    <n v="2466"/>
    <s v="Returned"/>
  </r>
  <r>
    <n v="9513"/>
    <d v="2025-10-23T00:00:00"/>
    <x v="0"/>
    <x v="4"/>
    <x v="2"/>
    <x v="3"/>
    <x v="1"/>
    <x v="5"/>
    <n v="52"/>
    <n v="25"/>
    <n v="1300"/>
    <n v="91.16"/>
    <n v="360.86"/>
    <s v="Returned"/>
  </r>
  <r>
    <n v="9514"/>
    <d v="2025-09-05T00:00:00"/>
    <x v="0"/>
    <x v="5"/>
    <x v="1"/>
    <x v="2"/>
    <x v="0"/>
    <x v="0"/>
    <n v="14"/>
    <n v="350"/>
    <n v="4900"/>
    <n v="401.77"/>
    <n v="1203.21"/>
    <s v="Returned"/>
  </r>
  <r>
    <n v="9515"/>
    <d v="2025-08-06T00:00:00"/>
    <x v="0"/>
    <x v="1"/>
    <x v="2"/>
    <x v="6"/>
    <x v="0"/>
    <x v="11"/>
    <n v="294"/>
    <n v="120"/>
    <n v="35280"/>
    <n v="1785.63"/>
    <n v="7632.42"/>
    <s v="Delivered"/>
  </r>
  <r>
    <n v="9516"/>
    <d v="2025-05-20T00:00:00"/>
    <x v="0"/>
    <x v="0"/>
    <x v="2"/>
    <x v="6"/>
    <x v="0"/>
    <x v="11"/>
    <n v="207"/>
    <n v="120"/>
    <n v="24840"/>
    <n v="1832.57"/>
    <n v="5134.3999999999996"/>
    <s v="Delivered"/>
  </r>
  <r>
    <n v="9517"/>
    <d v="2025-07-14T00:00:00"/>
    <x v="0"/>
    <x v="11"/>
    <x v="2"/>
    <x v="6"/>
    <x v="1"/>
    <x v="1"/>
    <n v="238"/>
    <n v="420"/>
    <n v="99960"/>
    <n v="6078.59"/>
    <n v="24027.46"/>
    <s v="Delivered"/>
  </r>
  <r>
    <n v="9518"/>
    <d v="2025-01-18T00:00:00"/>
    <x v="0"/>
    <x v="3"/>
    <x v="0"/>
    <x v="1"/>
    <x v="2"/>
    <x v="4"/>
    <n v="66"/>
    <n v="35"/>
    <n v="2310"/>
    <n v="138.77000000000001"/>
    <n v="717.1"/>
    <s v="Delivered"/>
  </r>
  <r>
    <n v="9519"/>
    <d v="2025-03-26T00:00:00"/>
    <x v="0"/>
    <x v="6"/>
    <x v="2"/>
    <x v="6"/>
    <x v="0"/>
    <x v="0"/>
    <n v="30"/>
    <n v="350"/>
    <n v="10500"/>
    <n v="589.66999999999996"/>
    <n v="3442.08"/>
    <s v="Delivered"/>
  </r>
  <r>
    <n v="9520"/>
    <d v="2025-11-22T00:00:00"/>
    <x v="0"/>
    <x v="2"/>
    <x v="2"/>
    <x v="3"/>
    <x v="0"/>
    <x v="0"/>
    <n v="345"/>
    <n v="350"/>
    <n v="120750"/>
    <n v="7668.97"/>
    <n v="32332.66"/>
    <s v="Returned"/>
  </r>
  <r>
    <n v="9521"/>
    <d v="2025-09-12T00:00:00"/>
    <x v="0"/>
    <x v="5"/>
    <x v="1"/>
    <x v="7"/>
    <x v="0"/>
    <x v="10"/>
    <n v="6"/>
    <n v="300"/>
    <n v="1800"/>
    <n v="117.33"/>
    <n v="565.86"/>
    <s v="Delivered"/>
  </r>
  <r>
    <n v="9522"/>
    <d v="2025-10-27T00:00:00"/>
    <x v="0"/>
    <x v="4"/>
    <x v="2"/>
    <x v="6"/>
    <x v="1"/>
    <x v="3"/>
    <n v="211"/>
    <n v="60"/>
    <n v="12660"/>
    <n v="683.29"/>
    <n v="3362.33"/>
    <s v="Delivered"/>
  </r>
  <r>
    <n v="9523"/>
    <d v="2025-08-09T00:00:00"/>
    <x v="0"/>
    <x v="1"/>
    <x v="1"/>
    <x v="4"/>
    <x v="1"/>
    <x v="8"/>
    <n v="57"/>
    <n v="45"/>
    <n v="2565"/>
    <n v="224.09"/>
    <n v="471.47"/>
    <s v="Returned"/>
  </r>
  <r>
    <n v="9524"/>
    <d v="2025-11-03T00:00:00"/>
    <x v="0"/>
    <x v="2"/>
    <x v="1"/>
    <x v="2"/>
    <x v="3"/>
    <x v="12"/>
    <n v="365"/>
    <n v="80"/>
    <n v="29200"/>
    <n v="2374.13"/>
    <n v="6536.9"/>
    <s v="Returned"/>
  </r>
  <r>
    <n v="9525"/>
    <d v="2025-10-29T00:00:00"/>
    <x v="0"/>
    <x v="4"/>
    <x v="0"/>
    <x v="0"/>
    <x v="1"/>
    <x v="5"/>
    <n v="487"/>
    <n v="25"/>
    <n v="12175"/>
    <n v="839.05"/>
    <n v="2403.91"/>
    <s v="Returned"/>
  </r>
  <r>
    <n v="9526"/>
    <d v="2025-04-27T00:00:00"/>
    <x v="0"/>
    <x v="9"/>
    <x v="0"/>
    <x v="1"/>
    <x v="0"/>
    <x v="0"/>
    <n v="192"/>
    <n v="350"/>
    <n v="67200"/>
    <n v="5042.3500000000004"/>
    <n v="13542.72"/>
    <s v="Returned"/>
  </r>
  <r>
    <n v="9527"/>
    <d v="2025-03-18T00:00:00"/>
    <x v="0"/>
    <x v="6"/>
    <x v="2"/>
    <x v="3"/>
    <x v="1"/>
    <x v="8"/>
    <n v="104"/>
    <n v="45"/>
    <n v="4680"/>
    <n v="315.33999999999997"/>
    <n v="1289.3800000000001"/>
    <s v="Delivered"/>
  </r>
  <r>
    <n v="9528"/>
    <d v="2025-03-26T00:00:00"/>
    <x v="0"/>
    <x v="6"/>
    <x v="0"/>
    <x v="1"/>
    <x v="2"/>
    <x v="6"/>
    <n v="252"/>
    <n v="140"/>
    <n v="35280"/>
    <n v="2621.12"/>
    <n v="9145.25"/>
    <s v="Delivered"/>
  </r>
  <r>
    <n v="9529"/>
    <d v="2025-07-31T00:00:00"/>
    <x v="0"/>
    <x v="11"/>
    <x v="2"/>
    <x v="5"/>
    <x v="2"/>
    <x v="6"/>
    <n v="155"/>
    <n v="140"/>
    <n v="21700"/>
    <n v="1297.6300000000001"/>
    <n v="7221.86"/>
    <s v="Delivered"/>
  </r>
  <r>
    <n v="9530"/>
    <d v="2025-11-11T00:00:00"/>
    <x v="0"/>
    <x v="2"/>
    <x v="1"/>
    <x v="8"/>
    <x v="1"/>
    <x v="2"/>
    <n v="173"/>
    <n v="50"/>
    <n v="8650"/>
    <n v="660.69"/>
    <n v="2699.33"/>
    <s v="Returned"/>
  </r>
  <r>
    <n v="9531"/>
    <d v="2025-02-15T00:00:00"/>
    <x v="0"/>
    <x v="7"/>
    <x v="1"/>
    <x v="2"/>
    <x v="1"/>
    <x v="3"/>
    <n v="222"/>
    <n v="60"/>
    <n v="13320"/>
    <n v="1271.54"/>
    <n v="2873.76"/>
    <s v="Delivered"/>
  </r>
  <r>
    <n v="9532"/>
    <d v="2025-06-23T00:00:00"/>
    <x v="0"/>
    <x v="8"/>
    <x v="2"/>
    <x v="3"/>
    <x v="3"/>
    <x v="7"/>
    <n v="103"/>
    <n v="55"/>
    <n v="5665"/>
    <n v="467.25"/>
    <n v="1094.58"/>
    <s v="Returned"/>
  </r>
  <r>
    <n v="9533"/>
    <d v="2025-12-06T00:00:00"/>
    <x v="0"/>
    <x v="10"/>
    <x v="2"/>
    <x v="6"/>
    <x v="2"/>
    <x v="6"/>
    <n v="333"/>
    <n v="140"/>
    <n v="46620"/>
    <n v="2635.6"/>
    <n v="11003.08"/>
    <s v="Returned"/>
  </r>
  <r>
    <n v="9534"/>
    <d v="2025-07-27T00:00:00"/>
    <x v="0"/>
    <x v="11"/>
    <x v="0"/>
    <x v="1"/>
    <x v="2"/>
    <x v="4"/>
    <n v="374"/>
    <n v="35"/>
    <n v="13090"/>
    <n v="803.67"/>
    <n v="3578.27"/>
    <s v="Returned"/>
  </r>
  <r>
    <n v="9535"/>
    <d v="2025-11-07T00:00:00"/>
    <x v="0"/>
    <x v="2"/>
    <x v="1"/>
    <x v="7"/>
    <x v="1"/>
    <x v="3"/>
    <n v="111"/>
    <n v="60"/>
    <n v="6660"/>
    <n v="525.41"/>
    <n v="1794.63"/>
    <s v="Delivered"/>
  </r>
  <r>
    <n v="9536"/>
    <d v="2025-12-11T00:00:00"/>
    <x v="0"/>
    <x v="10"/>
    <x v="0"/>
    <x v="1"/>
    <x v="0"/>
    <x v="0"/>
    <n v="108"/>
    <n v="350"/>
    <n v="37800"/>
    <n v="3759.08"/>
    <n v="9058.7000000000007"/>
    <s v="Delivered"/>
  </r>
  <r>
    <n v="9537"/>
    <d v="2025-10-04T00:00:00"/>
    <x v="0"/>
    <x v="4"/>
    <x v="1"/>
    <x v="2"/>
    <x v="1"/>
    <x v="5"/>
    <n v="319"/>
    <n v="25"/>
    <n v="7975"/>
    <n v="454.28"/>
    <n v="2232.94"/>
    <s v="Delivered"/>
  </r>
  <r>
    <n v="9538"/>
    <d v="2025-05-27T00:00:00"/>
    <x v="0"/>
    <x v="0"/>
    <x v="0"/>
    <x v="1"/>
    <x v="0"/>
    <x v="0"/>
    <n v="96"/>
    <n v="350"/>
    <n v="33600"/>
    <n v="2724.52"/>
    <n v="10579.66"/>
    <s v="Returned"/>
  </r>
  <r>
    <n v="9539"/>
    <d v="2025-06-18T00:00:00"/>
    <x v="0"/>
    <x v="8"/>
    <x v="0"/>
    <x v="1"/>
    <x v="1"/>
    <x v="8"/>
    <n v="201"/>
    <n v="45"/>
    <n v="9045"/>
    <n v="756.66"/>
    <n v="1832.85"/>
    <s v="Delivered"/>
  </r>
  <r>
    <n v="9540"/>
    <d v="2025-09-13T00:00:00"/>
    <x v="0"/>
    <x v="5"/>
    <x v="2"/>
    <x v="6"/>
    <x v="3"/>
    <x v="12"/>
    <n v="31"/>
    <n v="80"/>
    <n v="2480"/>
    <n v="240.45"/>
    <n v="579.71"/>
    <s v="Delivered"/>
  </r>
  <r>
    <n v="9541"/>
    <d v="2025-11-05T00:00:00"/>
    <x v="0"/>
    <x v="2"/>
    <x v="0"/>
    <x v="0"/>
    <x v="2"/>
    <x v="6"/>
    <n v="157"/>
    <n v="140"/>
    <n v="21980"/>
    <n v="1711.98"/>
    <n v="4900.79"/>
    <s v="Delivered"/>
  </r>
  <r>
    <n v="9542"/>
    <d v="2025-03-09T00:00:00"/>
    <x v="0"/>
    <x v="6"/>
    <x v="0"/>
    <x v="0"/>
    <x v="1"/>
    <x v="5"/>
    <n v="348"/>
    <n v="25"/>
    <n v="8700"/>
    <n v="673.32"/>
    <n v="1719.35"/>
    <s v="Returned"/>
  </r>
  <r>
    <n v="9543"/>
    <d v="2025-03-23T00:00:00"/>
    <x v="0"/>
    <x v="6"/>
    <x v="2"/>
    <x v="3"/>
    <x v="0"/>
    <x v="10"/>
    <n v="219"/>
    <n v="300"/>
    <n v="65700"/>
    <n v="4829.82"/>
    <n v="17164.38"/>
    <s v="Delivered"/>
  </r>
  <r>
    <n v="9544"/>
    <d v="2025-07-14T00:00:00"/>
    <x v="0"/>
    <x v="11"/>
    <x v="2"/>
    <x v="3"/>
    <x v="2"/>
    <x v="6"/>
    <n v="339"/>
    <n v="140"/>
    <n v="47460"/>
    <n v="4270.37"/>
    <n v="8332.15"/>
    <s v="Returned"/>
  </r>
  <r>
    <n v="9545"/>
    <d v="2025-01-01T00:00:00"/>
    <x v="0"/>
    <x v="3"/>
    <x v="1"/>
    <x v="8"/>
    <x v="1"/>
    <x v="1"/>
    <n v="435"/>
    <n v="420"/>
    <n v="182700"/>
    <n v="11880.75"/>
    <n v="54949.89"/>
    <s v="Returned"/>
  </r>
  <r>
    <n v="9546"/>
    <d v="2025-01-27T00:00:00"/>
    <x v="0"/>
    <x v="3"/>
    <x v="1"/>
    <x v="2"/>
    <x v="3"/>
    <x v="12"/>
    <n v="428"/>
    <n v="80"/>
    <n v="34240"/>
    <n v="3419.53"/>
    <n v="7615.31"/>
    <s v="Delivered"/>
  </r>
  <r>
    <n v="9547"/>
    <d v="2025-03-06T00:00:00"/>
    <x v="0"/>
    <x v="6"/>
    <x v="0"/>
    <x v="1"/>
    <x v="0"/>
    <x v="0"/>
    <n v="303"/>
    <n v="350"/>
    <n v="106050"/>
    <n v="5417.48"/>
    <n v="22850.720000000001"/>
    <s v="Delivered"/>
  </r>
  <r>
    <n v="9548"/>
    <d v="2025-11-11T00:00:00"/>
    <x v="0"/>
    <x v="2"/>
    <x v="2"/>
    <x v="6"/>
    <x v="3"/>
    <x v="9"/>
    <n v="104"/>
    <n v="150"/>
    <n v="15600"/>
    <n v="811.15"/>
    <n v="5074.21"/>
    <s v="Delivered"/>
  </r>
  <r>
    <n v="9549"/>
    <d v="2025-12-01T00:00:00"/>
    <x v="0"/>
    <x v="10"/>
    <x v="1"/>
    <x v="8"/>
    <x v="2"/>
    <x v="6"/>
    <n v="174"/>
    <n v="140"/>
    <n v="24360"/>
    <n v="2182.52"/>
    <n v="6526.23"/>
    <s v="Delivered"/>
  </r>
  <r>
    <n v="9550"/>
    <d v="2025-06-27T00:00:00"/>
    <x v="0"/>
    <x v="8"/>
    <x v="2"/>
    <x v="5"/>
    <x v="1"/>
    <x v="2"/>
    <n v="32"/>
    <n v="50"/>
    <n v="1600"/>
    <n v="143.47"/>
    <n v="374.11"/>
    <s v="Returned"/>
  </r>
  <r>
    <n v="9551"/>
    <d v="2025-01-05T00:00:00"/>
    <x v="0"/>
    <x v="3"/>
    <x v="0"/>
    <x v="0"/>
    <x v="3"/>
    <x v="12"/>
    <n v="99"/>
    <n v="80"/>
    <n v="7920"/>
    <n v="699.83"/>
    <n v="1493.88"/>
    <s v="Delivered"/>
  </r>
  <r>
    <n v="9552"/>
    <d v="2025-07-12T00:00:00"/>
    <x v="0"/>
    <x v="11"/>
    <x v="1"/>
    <x v="8"/>
    <x v="1"/>
    <x v="5"/>
    <n v="20"/>
    <n v="25"/>
    <n v="500"/>
    <n v="27.45"/>
    <n v="169.55"/>
    <s v="Returned"/>
  </r>
  <r>
    <n v="9553"/>
    <d v="2025-07-12T00:00:00"/>
    <x v="0"/>
    <x v="11"/>
    <x v="0"/>
    <x v="1"/>
    <x v="1"/>
    <x v="1"/>
    <n v="447"/>
    <n v="420"/>
    <n v="187740"/>
    <n v="10540.64"/>
    <n v="46612.13"/>
    <s v="Delivered"/>
  </r>
  <r>
    <n v="9554"/>
    <d v="2025-03-01T00:00:00"/>
    <x v="0"/>
    <x v="6"/>
    <x v="0"/>
    <x v="0"/>
    <x v="3"/>
    <x v="12"/>
    <n v="265"/>
    <n v="80"/>
    <n v="21200"/>
    <n v="1587.36"/>
    <n v="6524.08"/>
    <s v="Delivered"/>
  </r>
  <r>
    <n v="9555"/>
    <d v="2025-12-03T00:00:00"/>
    <x v="0"/>
    <x v="10"/>
    <x v="0"/>
    <x v="0"/>
    <x v="0"/>
    <x v="0"/>
    <n v="50"/>
    <n v="350"/>
    <n v="17500"/>
    <n v="1164.48"/>
    <n v="4379.6000000000004"/>
    <s v="Delivered"/>
  </r>
  <r>
    <n v="9556"/>
    <d v="2025-09-24T00:00:00"/>
    <x v="0"/>
    <x v="5"/>
    <x v="2"/>
    <x v="3"/>
    <x v="1"/>
    <x v="1"/>
    <n v="317"/>
    <n v="420"/>
    <n v="133140"/>
    <n v="9514.2000000000007"/>
    <n v="43610.29"/>
    <s v="Delivered"/>
  </r>
  <r>
    <n v="9557"/>
    <d v="2025-06-20T00:00:00"/>
    <x v="0"/>
    <x v="8"/>
    <x v="1"/>
    <x v="4"/>
    <x v="1"/>
    <x v="2"/>
    <n v="411"/>
    <n v="50"/>
    <n v="20550"/>
    <n v="1705.93"/>
    <n v="6009.1"/>
    <s v="Returned"/>
  </r>
  <r>
    <n v="9558"/>
    <d v="2025-04-29T00:00:00"/>
    <x v="0"/>
    <x v="9"/>
    <x v="1"/>
    <x v="7"/>
    <x v="3"/>
    <x v="7"/>
    <n v="248"/>
    <n v="55"/>
    <n v="13640"/>
    <n v="832.72"/>
    <n v="3272.39"/>
    <s v="Returned"/>
  </r>
  <r>
    <n v="9559"/>
    <d v="2025-01-17T00:00:00"/>
    <x v="0"/>
    <x v="3"/>
    <x v="2"/>
    <x v="5"/>
    <x v="0"/>
    <x v="11"/>
    <n v="271"/>
    <n v="120"/>
    <n v="32520"/>
    <n v="2983.35"/>
    <n v="8944.73"/>
    <s v="Returned"/>
  </r>
  <r>
    <n v="9560"/>
    <d v="2025-03-04T00:00:00"/>
    <x v="0"/>
    <x v="6"/>
    <x v="0"/>
    <x v="0"/>
    <x v="2"/>
    <x v="6"/>
    <n v="124"/>
    <n v="140"/>
    <n v="17360"/>
    <n v="951.64"/>
    <n v="3886.23"/>
    <s v="Returned"/>
  </r>
  <r>
    <n v="9561"/>
    <d v="2025-12-04T00:00:00"/>
    <x v="0"/>
    <x v="10"/>
    <x v="1"/>
    <x v="8"/>
    <x v="3"/>
    <x v="9"/>
    <n v="108"/>
    <n v="150"/>
    <n v="16200"/>
    <n v="1174.52"/>
    <n v="4900.6000000000004"/>
    <s v="Delivered"/>
  </r>
  <r>
    <n v="9562"/>
    <d v="2025-07-03T00:00:00"/>
    <x v="0"/>
    <x v="11"/>
    <x v="1"/>
    <x v="7"/>
    <x v="1"/>
    <x v="8"/>
    <n v="212"/>
    <n v="45"/>
    <n v="9540"/>
    <n v="485.22"/>
    <n v="2830.51"/>
    <s v="Delivered"/>
  </r>
  <r>
    <n v="9563"/>
    <d v="2025-12-02T00:00:00"/>
    <x v="0"/>
    <x v="10"/>
    <x v="1"/>
    <x v="8"/>
    <x v="1"/>
    <x v="3"/>
    <n v="254"/>
    <n v="60"/>
    <n v="15240"/>
    <n v="816.94"/>
    <n v="3942.89"/>
    <s v="Returned"/>
  </r>
  <r>
    <n v="9564"/>
    <d v="2025-12-30T00:00:00"/>
    <x v="0"/>
    <x v="10"/>
    <x v="0"/>
    <x v="1"/>
    <x v="1"/>
    <x v="2"/>
    <n v="156"/>
    <n v="50"/>
    <n v="7800"/>
    <n v="634.49"/>
    <n v="1885.59"/>
    <s v="Delivered"/>
  </r>
  <r>
    <n v="9565"/>
    <d v="2025-10-17T00:00:00"/>
    <x v="0"/>
    <x v="4"/>
    <x v="2"/>
    <x v="6"/>
    <x v="1"/>
    <x v="5"/>
    <n v="160"/>
    <n v="25"/>
    <n v="4000"/>
    <n v="377.45"/>
    <n v="1047.73"/>
    <s v="Delivered"/>
  </r>
  <r>
    <n v="9566"/>
    <d v="2025-05-07T00:00:00"/>
    <x v="0"/>
    <x v="0"/>
    <x v="0"/>
    <x v="0"/>
    <x v="1"/>
    <x v="8"/>
    <n v="77"/>
    <n v="45"/>
    <n v="3465"/>
    <n v="189.39"/>
    <n v="716.08"/>
    <s v="Delivered"/>
  </r>
  <r>
    <n v="9567"/>
    <d v="2025-06-29T00:00:00"/>
    <x v="0"/>
    <x v="8"/>
    <x v="1"/>
    <x v="8"/>
    <x v="1"/>
    <x v="2"/>
    <n v="54"/>
    <n v="50"/>
    <n v="2700"/>
    <n v="214.85"/>
    <n v="847.03"/>
    <s v="Delivered"/>
  </r>
  <r>
    <n v="9568"/>
    <d v="2025-02-27T00:00:00"/>
    <x v="0"/>
    <x v="7"/>
    <x v="0"/>
    <x v="0"/>
    <x v="3"/>
    <x v="7"/>
    <n v="20"/>
    <n v="55"/>
    <n v="1100"/>
    <n v="87.6"/>
    <n v="317.37"/>
    <s v="Returned"/>
  </r>
  <r>
    <n v="9569"/>
    <d v="2025-03-30T00:00:00"/>
    <x v="0"/>
    <x v="6"/>
    <x v="2"/>
    <x v="5"/>
    <x v="1"/>
    <x v="3"/>
    <n v="250"/>
    <n v="60"/>
    <n v="15000"/>
    <n v="945.39"/>
    <n v="3900.26"/>
    <s v="Delivered"/>
  </r>
  <r>
    <n v="9570"/>
    <d v="2025-03-18T00:00:00"/>
    <x v="0"/>
    <x v="6"/>
    <x v="2"/>
    <x v="6"/>
    <x v="0"/>
    <x v="11"/>
    <n v="395"/>
    <n v="120"/>
    <n v="47400"/>
    <n v="4281.95"/>
    <n v="14430.87"/>
    <s v="Delivered"/>
  </r>
  <r>
    <n v="9571"/>
    <d v="2025-04-24T00:00:00"/>
    <x v="0"/>
    <x v="9"/>
    <x v="0"/>
    <x v="0"/>
    <x v="1"/>
    <x v="2"/>
    <n v="485"/>
    <n v="50"/>
    <n v="24250"/>
    <n v="2035.13"/>
    <n v="5210.78"/>
    <s v="Delivered"/>
  </r>
  <r>
    <n v="9572"/>
    <d v="2025-12-10T00:00:00"/>
    <x v="0"/>
    <x v="10"/>
    <x v="1"/>
    <x v="7"/>
    <x v="1"/>
    <x v="2"/>
    <n v="232"/>
    <n v="50"/>
    <n v="11600"/>
    <n v="1125.2"/>
    <n v="3423.44"/>
    <s v="Returned"/>
  </r>
  <r>
    <n v="9573"/>
    <d v="2025-07-05T00:00:00"/>
    <x v="0"/>
    <x v="11"/>
    <x v="2"/>
    <x v="3"/>
    <x v="3"/>
    <x v="9"/>
    <n v="498"/>
    <n v="150"/>
    <n v="74700"/>
    <n v="4448.21"/>
    <n v="18444.07"/>
    <s v="Returned"/>
  </r>
  <r>
    <n v="9574"/>
    <d v="2025-09-18T00:00:00"/>
    <x v="0"/>
    <x v="5"/>
    <x v="1"/>
    <x v="8"/>
    <x v="1"/>
    <x v="8"/>
    <n v="471"/>
    <n v="45"/>
    <n v="21195"/>
    <n v="1840.4"/>
    <n v="4158.55"/>
    <s v="Returned"/>
  </r>
  <r>
    <n v="9575"/>
    <d v="2025-04-17T00:00:00"/>
    <x v="0"/>
    <x v="9"/>
    <x v="1"/>
    <x v="4"/>
    <x v="1"/>
    <x v="3"/>
    <n v="473"/>
    <n v="60"/>
    <n v="28380"/>
    <n v="2241.25"/>
    <n v="7861.74"/>
    <s v="Returned"/>
  </r>
  <r>
    <n v="9576"/>
    <d v="2025-01-06T00:00:00"/>
    <x v="0"/>
    <x v="3"/>
    <x v="2"/>
    <x v="6"/>
    <x v="0"/>
    <x v="11"/>
    <n v="197"/>
    <n v="120"/>
    <n v="23640"/>
    <n v="1814.26"/>
    <n v="5194.2299999999996"/>
    <s v="Delivered"/>
  </r>
  <r>
    <n v="9577"/>
    <d v="2025-02-26T00:00:00"/>
    <x v="0"/>
    <x v="7"/>
    <x v="2"/>
    <x v="3"/>
    <x v="2"/>
    <x v="6"/>
    <n v="202"/>
    <n v="140"/>
    <n v="28280"/>
    <n v="2100.6799999999998"/>
    <n v="7596.15"/>
    <s v="Returned"/>
  </r>
  <r>
    <n v="9578"/>
    <d v="2025-03-01T00:00:00"/>
    <x v="0"/>
    <x v="6"/>
    <x v="2"/>
    <x v="3"/>
    <x v="0"/>
    <x v="11"/>
    <n v="89"/>
    <n v="120"/>
    <n v="10680"/>
    <n v="860.73"/>
    <n v="3261.23"/>
    <s v="Returned"/>
  </r>
  <r>
    <n v="9579"/>
    <d v="2025-05-28T00:00:00"/>
    <x v="0"/>
    <x v="0"/>
    <x v="1"/>
    <x v="8"/>
    <x v="0"/>
    <x v="10"/>
    <n v="163"/>
    <n v="300"/>
    <n v="48900"/>
    <n v="2637.03"/>
    <n v="12844.65"/>
    <s v="Delivered"/>
  </r>
  <r>
    <n v="9580"/>
    <d v="2025-05-02T00:00:00"/>
    <x v="0"/>
    <x v="0"/>
    <x v="0"/>
    <x v="1"/>
    <x v="1"/>
    <x v="2"/>
    <n v="21"/>
    <n v="50"/>
    <n v="1050"/>
    <n v="104.18"/>
    <n v="258"/>
    <s v="Returned"/>
  </r>
  <r>
    <n v="9581"/>
    <d v="2025-02-11T00:00:00"/>
    <x v="0"/>
    <x v="7"/>
    <x v="1"/>
    <x v="7"/>
    <x v="1"/>
    <x v="3"/>
    <n v="91"/>
    <n v="60"/>
    <n v="5460"/>
    <n v="284.04000000000002"/>
    <n v="1279.31"/>
    <s v="Returned"/>
  </r>
  <r>
    <n v="9582"/>
    <d v="2025-12-19T00:00:00"/>
    <x v="0"/>
    <x v="10"/>
    <x v="0"/>
    <x v="0"/>
    <x v="3"/>
    <x v="7"/>
    <n v="457"/>
    <n v="55"/>
    <n v="25135"/>
    <n v="1416.13"/>
    <n v="7363.38"/>
    <s v="Returned"/>
  </r>
  <r>
    <n v="9583"/>
    <d v="2025-05-19T00:00:00"/>
    <x v="0"/>
    <x v="0"/>
    <x v="1"/>
    <x v="2"/>
    <x v="3"/>
    <x v="9"/>
    <n v="429"/>
    <n v="150"/>
    <n v="64350"/>
    <n v="5153.3100000000004"/>
    <n v="14355.54"/>
    <s v="Delivered"/>
  </r>
  <r>
    <n v="9584"/>
    <d v="2025-08-27T00:00:00"/>
    <x v="0"/>
    <x v="1"/>
    <x v="0"/>
    <x v="1"/>
    <x v="1"/>
    <x v="1"/>
    <n v="19"/>
    <n v="420"/>
    <n v="7980"/>
    <n v="794.46"/>
    <n v="1655.18"/>
    <s v="Returned"/>
  </r>
  <r>
    <n v="9585"/>
    <d v="2025-07-22T00:00:00"/>
    <x v="0"/>
    <x v="11"/>
    <x v="2"/>
    <x v="3"/>
    <x v="3"/>
    <x v="9"/>
    <n v="429"/>
    <n v="150"/>
    <n v="64350"/>
    <n v="5417.77"/>
    <n v="12549.89"/>
    <s v="Returned"/>
  </r>
  <r>
    <n v="9586"/>
    <d v="2025-10-22T00:00:00"/>
    <x v="0"/>
    <x v="4"/>
    <x v="2"/>
    <x v="5"/>
    <x v="0"/>
    <x v="0"/>
    <n v="20"/>
    <n v="350"/>
    <n v="7000"/>
    <n v="448.38"/>
    <n v="1719.35"/>
    <s v="Delivered"/>
  </r>
  <r>
    <n v="9587"/>
    <d v="2025-03-20T00:00:00"/>
    <x v="0"/>
    <x v="6"/>
    <x v="0"/>
    <x v="1"/>
    <x v="3"/>
    <x v="9"/>
    <n v="227"/>
    <n v="150"/>
    <n v="34050"/>
    <n v="3121"/>
    <n v="6400.99"/>
    <s v="Returned"/>
  </r>
  <r>
    <n v="9588"/>
    <d v="2025-05-18T00:00:00"/>
    <x v="0"/>
    <x v="0"/>
    <x v="0"/>
    <x v="1"/>
    <x v="0"/>
    <x v="0"/>
    <n v="13"/>
    <n v="350"/>
    <n v="4550"/>
    <n v="448.95"/>
    <n v="927.73"/>
    <s v="Delivered"/>
  </r>
  <r>
    <n v="9589"/>
    <d v="2025-06-13T00:00:00"/>
    <x v="0"/>
    <x v="8"/>
    <x v="0"/>
    <x v="1"/>
    <x v="1"/>
    <x v="1"/>
    <n v="301"/>
    <n v="420"/>
    <n v="126420"/>
    <n v="7108.92"/>
    <n v="42987.040000000001"/>
    <s v="Returned"/>
  </r>
  <r>
    <n v="9590"/>
    <d v="2025-03-07T00:00:00"/>
    <x v="0"/>
    <x v="6"/>
    <x v="1"/>
    <x v="8"/>
    <x v="0"/>
    <x v="11"/>
    <n v="339"/>
    <n v="120"/>
    <n v="40680"/>
    <n v="2459.7800000000002"/>
    <n v="9550.27"/>
    <s v="Delivered"/>
  </r>
  <r>
    <n v="9591"/>
    <d v="2025-11-26T00:00:00"/>
    <x v="0"/>
    <x v="2"/>
    <x v="1"/>
    <x v="4"/>
    <x v="0"/>
    <x v="11"/>
    <n v="162"/>
    <n v="120"/>
    <n v="19440"/>
    <n v="1083.1600000000001"/>
    <n v="4618.82"/>
    <s v="Returned"/>
  </r>
  <r>
    <n v="9592"/>
    <d v="2025-04-05T00:00:00"/>
    <x v="0"/>
    <x v="9"/>
    <x v="2"/>
    <x v="5"/>
    <x v="3"/>
    <x v="7"/>
    <n v="44"/>
    <n v="55"/>
    <n v="2420"/>
    <n v="198.31"/>
    <n v="581.34"/>
    <s v="Delivered"/>
  </r>
  <r>
    <n v="9593"/>
    <d v="2025-11-27T00:00:00"/>
    <x v="0"/>
    <x v="2"/>
    <x v="0"/>
    <x v="0"/>
    <x v="3"/>
    <x v="9"/>
    <n v="300"/>
    <n v="150"/>
    <n v="45000"/>
    <n v="3989.34"/>
    <n v="11595.32"/>
    <s v="Returned"/>
  </r>
  <r>
    <n v="9594"/>
    <d v="2025-06-02T00:00:00"/>
    <x v="0"/>
    <x v="8"/>
    <x v="2"/>
    <x v="6"/>
    <x v="1"/>
    <x v="2"/>
    <n v="158"/>
    <n v="50"/>
    <n v="7900"/>
    <n v="737.59"/>
    <n v="1243.9100000000001"/>
    <s v="Delivered"/>
  </r>
  <r>
    <n v="9595"/>
    <d v="2025-05-16T00:00:00"/>
    <x v="0"/>
    <x v="0"/>
    <x v="1"/>
    <x v="2"/>
    <x v="2"/>
    <x v="6"/>
    <n v="130"/>
    <n v="140"/>
    <n v="18200"/>
    <n v="1233.6199999999999"/>
    <n v="3839.81"/>
    <s v="Returned"/>
  </r>
  <r>
    <n v="9596"/>
    <d v="2025-12-22T00:00:00"/>
    <x v="0"/>
    <x v="10"/>
    <x v="1"/>
    <x v="4"/>
    <x v="3"/>
    <x v="7"/>
    <n v="254"/>
    <n v="55"/>
    <n v="13970"/>
    <n v="968.87"/>
    <n v="3873.79"/>
    <s v="Returned"/>
  </r>
  <r>
    <n v="9597"/>
    <d v="2025-09-26T00:00:00"/>
    <x v="0"/>
    <x v="5"/>
    <x v="2"/>
    <x v="3"/>
    <x v="3"/>
    <x v="12"/>
    <n v="276"/>
    <n v="80"/>
    <n v="22080"/>
    <n v="1810.9"/>
    <n v="5934.94"/>
    <s v="Returned"/>
  </r>
  <r>
    <n v="9598"/>
    <d v="2025-08-14T00:00:00"/>
    <x v="0"/>
    <x v="1"/>
    <x v="2"/>
    <x v="6"/>
    <x v="1"/>
    <x v="1"/>
    <n v="111"/>
    <n v="420"/>
    <n v="46620"/>
    <n v="4386.8999999999996"/>
    <n v="14185.06"/>
    <s v="Delivered"/>
  </r>
  <r>
    <n v="9599"/>
    <d v="2025-10-21T00:00:00"/>
    <x v="0"/>
    <x v="4"/>
    <x v="1"/>
    <x v="8"/>
    <x v="0"/>
    <x v="10"/>
    <n v="129"/>
    <n v="300"/>
    <n v="38700"/>
    <n v="2037.54"/>
    <n v="13050.79"/>
    <s v="Deliv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96D50-653A-421D-B90F-92175F583358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3:B13" firstHeaderRow="1" firstDataRow="1" firstDataCol="1"/>
  <pivotFields count="14">
    <pivotField showAll="0"/>
    <pivotField numFmtId="14" showAll="0"/>
    <pivotField showAll="0"/>
    <pivotField showAll="0"/>
    <pivotField showAll="0"/>
    <pivotField axis="axisRow" showAll="0">
      <items count="10">
        <item x="0"/>
        <item x="8"/>
        <item x="7"/>
        <item x="5"/>
        <item x="2"/>
        <item x="6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rofit" fld="12" baseField="0" baseItem="0"/>
  </dataFields>
  <formats count="141">
    <format dxfId="200">
      <pivotArea type="all" dataOnly="0" outline="0" fieldPosition="0"/>
    </format>
    <format dxfId="199">
      <pivotArea outline="0" collapsedLevelsAreSubtotals="1" fieldPosition="0"/>
    </format>
    <format dxfId="198">
      <pivotArea field="5" type="button" dataOnly="0" labelOnly="1" outline="0" axis="axisRow" fieldPosition="0"/>
    </format>
    <format dxfId="197">
      <pivotArea dataOnly="0" labelOnly="1" outline="0" axis="axisValues" fieldPosition="0"/>
    </format>
    <format dxfId="196">
      <pivotArea dataOnly="0" labelOnly="1" fieldPosition="0">
        <references count="1">
          <reference field="5" count="0"/>
        </references>
      </pivotArea>
    </format>
    <format dxfId="195">
      <pivotArea dataOnly="0" labelOnly="1" grandRow="1" outline="0" fieldPosition="0"/>
    </format>
    <format dxfId="194">
      <pivotArea dataOnly="0" labelOnly="1" outline="0" axis="axisValues" fieldPosition="0"/>
    </format>
    <format dxfId="193">
      <pivotArea type="all" dataOnly="0" outline="0" fieldPosition="0"/>
    </format>
    <format dxfId="192">
      <pivotArea outline="0" collapsedLevelsAreSubtotals="1" fieldPosition="0"/>
    </format>
    <format dxfId="191">
      <pivotArea field="5" type="button" dataOnly="0" labelOnly="1" outline="0" axis="axisRow" fieldPosition="0"/>
    </format>
    <format dxfId="190">
      <pivotArea dataOnly="0" labelOnly="1" outline="0" axis="axisValues" fieldPosition="0"/>
    </format>
    <format dxfId="189">
      <pivotArea dataOnly="0" labelOnly="1" fieldPosition="0">
        <references count="1">
          <reference field="5" count="0"/>
        </references>
      </pivotArea>
    </format>
    <format dxfId="188">
      <pivotArea dataOnly="0" labelOnly="1" grandRow="1" outline="0" fieldPosition="0"/>
    </format>
    <format dxfId="187">
      <pivotArea dataOnly="0" labelOnly="1" outline="0" axis="axisValues" fieldPosition="0"/>
    </format>
    <format dxfId="186">
      <pivotArea type="all" dataOnly="0" outline="0" fieldPosition="0"/>
    </format>
    <format dxfId="185">
      <pivotArea outline="0" collapsedLevelsAreSubtotals="1" fieldPosition="0"/>
    </format>
    <format dxfId="184">
      <pivotArea field="5" type="button" dataOnly="0" labelOnly="1" outline="0" axis="axisRow" fieldPosition="0"/>
    </format>
    <format dxfId="183">
      <pivotArea dataOnly="0" labelOnly="1" outline="0" axis="axisValues" fieldPosition="0"/>
    </format>
    <format dxfId="182">
      <pivotArea dataOnly="0" labelOnly="1" fieldPosition="0">
        <references count="1">
          <reference field="5" count="0"/>
        </references>
      </pivotArea>
    </format>
    <format dxfId="181">
      <pivotArea dataOnly="0" labelOnly="1" grandRow="1" outline="0" fieldPosition="0"/>
    </format>
    <format dxfId="180">
      <pivotArea dataOnly="0" labelOnly="1" outline="0" axis="axisValues" fieldPosition="0"/>
    </format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5" type="button" dataOnly="0" labelOnly="1" outline="0" axis="axisRow" fieldPosition="0"/>
    </format>
    <format dxfId="176">
      <pivotArea dataOnly="0" labelOnly="1" outline="0" axis="axisValues" fieldPosition="0"/>
    </format>
    <format dxfId="175">
      <pivotArea dataOnly="0" labelOnly="1" fieldPosition="0">
        <references count="1">
          <reference field="5" count="0"/>
        </references>
      </pivotArea>
    </format>
    <format dxfId="174">
      <pivotArea dataOnly="0" labelOnly="1" grandRow="1" outline="0" fieldPosition="0"/>
    </format>
    <format dxfId="173">
      <pivotArea dataOnly="0" labelOnly="1" outline="0" axis="axisValues" fieldPosition="0"/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field="5" type="button" dataOnly="0" labelOnly="1" outline="0" axis="axisRow" fieldPosition="0"/>
    </format>
    <format dxfId="169">
      <pivotArea dataOnly="0" labelOnly="1" outline="0" axis="axisValues" fieldPosition="0"/>
    </format>
    <format dxfId="168">
      <pivotArea dataOnly="0" labelOnly="1" fieldPosition="0">
        <references count="1">
          <reference field="5" count="0"/>
        </references>
      </pivotArea>
    </format>
    <format dxfId="167">
      <pivotArea dataOnly="0" labelOnly="1" grandRow="1" outline="0" fieldPosition="0"/>
    </format>
    <format dxfId="166">
      <pivotArea dataOnly="0" labelOnly="1" outline="0" axis="axisValues" fieldPosition="0"/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field="5" type="button" dataOnly="0" labelOnly="1" outline="0" axis="axisRow" fieldPosition="0"/>
    </format>
    <format dxfId="162">
      <pivotArea dataOnly="0" labelOnly="1" outline="0" axis="axisValues" fieldPosition="0"/>
    </format>
    <format dxfId="161">
      <pivotArea dataOnly="0" labelOnly="1" fieldPosition="0">
        <references count="1">
          <reference field="5" count="0"/>
        </references>
      </pivotArea>
    </format>
    <format dxfId="160">
      <pivotArea dataOnly="0" labelOnly="1" grandRow="1" outline="0" fieldPosition="0"/>
    </format>
    <format dxfId="159">
      <pivotArea dataOnly="0" labelOnly="1" outline="0" axis="axisValues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field="5" type="button" dataOnly="0" labelOnly="1" outline="0" axis="axisRow" fieldPosition="0"/>
    </format>
    <format dxfId="155">
      <pivotArea dataOnly="0" labelOnly="1" outline="0" axis="axisValues" fieldPosition="0"/>
    </format>
    <format dxfId="154">
      <pivotArea dataOnly="0" labelOnly="1" fieldPosition="0">
        <references count="1">
          <reference field="5" count="0"/>
        </references>
      </pivotArea>
    </format>
    <format dxfId="153">
      <pivotArea dataOnly="0" labelOnly="1" grandRow="1" outline="0" fieldPosition="0"/>
    </format>
    <format dxfId="152">
      <pivotArea dataOnly="0" labelOnly="1" outline="0" axis="axisValues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5" type="button" dataOnly="0" labelOnly="1" outline="0" axis="axisRow" fieldPosition="0"/>
    </format>
    <format dxfId="148">
      <pivotArea dataOnly="0" labelOnly="1" outline="0" axis="axisValues" fieldPosition="0"/>
    </format>
    <format dxfId="147">
      <pivotArea dataOnly="0" labelOnly="1" fieldPosition="0">
        <references count="1">
          <reference field="5" count="0"/>
        </references>
      </pivotArea>
    </format>
    <format dxfId="146">
      <pivotArea dataOnly="0" labelOnly="1" grandRow="1" outline="0" fieldPosition="0"/>
    </format>
    <format dxfId="145">
      <pivotArea dataOnly="0" labelOnly="1" outline="0" axis="axisValues" fieldPosition="0"/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5" type="button" dataOnly="0" labelOnly="1" outline="0" axis="axisRow" fieldPosition="0"/>
    </format>
    <format dxfId="141">
      <pivotArea dataOnly="0" labelOnly="1" outline="0" axis="axisValues" fieldPosition="0"/>
    </format>
    <format dxfId="140">
      <pivotArea dataOnly="0" labelOnly="1" fieldPosition="0">
        <references count="1">
          <reference field="5" count="0"/>
        </references>
      </pivotArea>
    </format>
    <format dxfId="139">
      <pivotArea dataOnly="0" labelOnly="1" grandRow="1" outline="0" fieldPosition="0"/>
    </format>
    <format dxfId="138">
      <pivotArea dataOnly="0" labelOnly="1" outline="0" axis="axisValues" fieldPosition="0"/>
    </format>
    <format dxfId="137">
      <pivotArea type="all" dataOnly="0" outline="0" fieldPosition="0"/>
    </format>
    <format dxfId="136">
      <pivotArea outline="0" collapsedLevelsAreSubtotals="1" fieldPosition="0"/>
    </format>
    <format dxfId="135">
      <pivotArea field="5" type="button" dataOnly="0" labelOnly="1" outline="0" axis="axisRow" fieldPosition="0"/>
    </format>
    <format dxfId="134">
      <pivotArea dataOnly="0" labelOnly="1" outline="0" axis="axisValues" fieldPosition="0"/>
    </format>
    <format dxfId="133">
      <pivotArea dataOnly="0" labelOnly="1" fieldPosition="0">
        <references count="1">
          <reference field="5" count="0"/>
        </references>
      </pivotArea>
    </format>
    <format dxfId="132">
      <pivotArea dataOnly="0" labelOnly="1" grandRow="1" outline="0" fieldPosition="0"/>
    </format>
    <format dxfId="131">
      <pivotArea dataOnly="0" labelOnly="1" outline="0" axis="axisValues" fieldPosition="0"/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5" type="button" dataOnly="0" labelOnly="1" outline="0" axis="axisRow" fieldPosition="0"/>
    </format>
    <format dxfId="127">
      <pivotArea dataOnly="0" labelOnly="1" outline="0" axis="axisValues" fieldPosition="0"/>
    </format>
    <format dxfId="126">
      <pivotArea dataOnly="0" labelOnly="1" fieldPosition="0">
        <references count="1">
          <reference field="5" count="0"/>
        </references>
      </pivotArea>
    </format>
    <format dxfId="125">
      <pivotArea dataOnly="0" labelOnly="1" grandRow="1" outline="0" fieldPosition="0"/>
    </format>
    <format dxfId="124">
      <pivotArea dataOnly="0" labelOnly="1" outline="0" axis="axisValues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5" type="button" dataOnly="0" labelOnly="1" outline="0" axis="axisRow" fieldPosition="0"/>
    </format>
    <format dxfId="120">
      <pivotArea dataOnly="0" labelOnly="1" outline="0" axis="axisValues" fieldPosition="0"/>
    </format>
    <format dxfId="119">
      <pivotArea dataOnly="0" labelOnly="1" fieldPosition="0">
        <references count="1">
          <reference field="5" count="0"/>
        </references>
      </pivotArea>
    </format>
    <format dxfId="118">
      <pivotArea dataOnly="0" labelOnly="1" grandRow="1" outline="0" fieldPosition="0"/>
    </format>
    <format dxfId="117">
      <pivotArea dataOnly="0" labelOnly="1" outline="0" axis="axisValues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5" type="button" dataOnly="0" labelOnly="1" outline="0" axis="axisRow" fieldPosition="0"/>
    </format>
    <format dxfId="113">
      <pivotArea dataOnly="0" labelOnly="1" outline="0" axis="axisValues" fieldPosition="0"/>
    </format>
    <format dxfId="112">
      <pivotArea dataOnly="0" labelOnly="1" fieldPosition="0">
        <references count="1">
          <reference field="5" count="0"/>
        </references>
      </pivotArea>
    </format>
    <format dxfId="111">
      <pivotArea dataOnly="0" labelOnly="1" grandRow="1" outline="0" fieldPosition="0"/>
    </format>
    <format dxfId="110">
      <pivotArea dataOnly="0" labelOnly="1" outline="0" axis="axisValues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5" type="button" dataOnly="0" labelOnly="1" outline="0" axis="axisRow" fieldPosition="0"/>
    </format>
    <format dxfId="106">
      <pivotArea dataOnly="0" labelOnly="1" outline="0" axis="axisValues" fieldPosition="0"/>
    </format>
    <format dxfId="105">
      <pivotArea dataOnly="0" labelOnly="1" fieldPosition="0">
        <references count="1">
          <reference field="5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5" type="button" dataOnly="0" labelOnly="1" outline="0" axis="axisRow" fieldPosition="0"/>
    </format>
    <format dxfId="99">
      <pivotArea dataOnly="0" labelOnly="1" outline="0" axis="axisValues" fieldPosition="0"/>
    </format>
    <format dxfId="98">
      <pivotArea dataOnly="0" labelOnly="1" fieldPosition="0">
        <references count="1">
          <reference field="5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5" type="button" dataOnly="0" labelOnly="1" outline="0" axis="axisRow" fieldPosition="0"/>
    </format>
    <format dxfId="92">
      <pivotArea dataOnly="0" labelOnly="1" fieldPosition="0">
        <references count="1">
          <reference field="5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5" type="button" dataOnly="0" labelOnly="1" outline="0" axis="axisRow" fieldPosition="0"/>
    </format>
    <format dxfId="86">
      <pivotArea dataOnly="0" labelOnly="1" fieldPosition="0">
        <references count="1">
          <reference field="5" count="0"/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dataOnly="0" labelOnly="1" outline="0" axis="axisValues" fieldPosition="0"/>
    </format>
    <format dxfId="80">
      <pivotArea field="5" type="button" dataOnly="0" labelOnly="1" outline="0" axis="axisRow" fieldPosition="0"/>
    </format>
    <format dxfId="79">
      <pivotArea dataOnly="0" labelOnly="1" fieldPosition="0">
        <references count="1">
          <reference field="5" count="0"/>
        </references>
      </pivotArea>
    </format>
    <format dxfId="78">
      <pivotArea dataOnly="0" labelOnly="1" grandRow="1" outline="0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5" type="button" dataOnly="0" labelOnly="1" outline="0" axis="axisRow" fieldPosition="0"/>
    </format>
    <format dxfId="74">
      <pivotArea dataOnly="0" labelOnly="1" fieldPosition="0">
        <references count="1">
          <reference field="5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5" type="button" dataOnly="0" labelOnly="1" outline="0" axis="axisRow" fieldPosition="0"/>
    </format>
    <format dxfId="68">
      <pivotArea dataOnly="0" labelOnly="1" fieldPosition="0">
        <references count="1">
          <reference field="5" count="0"/>
        </references>
      </pivotArea>
    </format>
    <format dxfId="67">
      <pivotArea dataOnly="0" labelOnly="1" grandRow="1" outline="0" fieldPosition="0"/>
    </format>
    <format dxfId="6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63985-F773-43F9-8FD1-E5B76A3B7CF7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4:G8" firstHeaderRow="1" firstDataRow="1" firstDataCol="1"/>
  <pivotFields count="14">
    <pivotField showAll="0"/>
    <pivotField numFmtId="14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_Sold" fld="8" baseField="0" baseItem="0"/>
  </dataFields>
  <formats count="12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4" type="button" dataOnly="0" labelOnly="1" outline="0" axis="axisRow" fieldPosition="0"/>
    </format>
    <format dxfId="62">
      <pivotArea dataOnly="0" labelOnly="1" fieldPosition="0">
        <references count="1">
          <reference field="4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4" type="button" dataOnly="0" labelOnly="1" outline="0" axis="axisRow" fieldPosition="0"/>
    </format>
    <format dxfId="8">
      <pivotArea dataOnly="0" labelOnly="1" fieldPosition="0">
        <references count="1">
          <reference field="4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E1FA8-F38B-4DDE-94ED-375188664829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L65" firstHeaderRow="1" firstDataRow="1" firstDataCol="1"/>
  <pivotFields count="14">
    <pivotField showAll="0"/>
    <pivotField numFmtId="14" showAll="0"/>
    <pivotField multipleItemSelectionAllowed="1" showAll="0">
      <items count="2">
        <item x="0"/>
        <item t="default"/>
      </items>
    </pivotField>
    <pivotField axis="axisRow" showAll="0">
      <items count="13">
        <item x="3"/>
        <item x="7"/>
        <item x="6"/>
        <item x="9"/>
        <item x="0"/>
        <item x="8"/>
        <item x="11"/>
        <item x="1"/>
        <item x="5"/>
        <item x="4"/>
        <item x="2"/>
        <item x="10"/>
        <item t="default"/>
      </items>
    </pivotField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>
      <items count="14">
        <item x="11"/>
        <item x="1"/>
        <item x="3"/>
        <item x="4"/>
        <item x="2"/>
        <item x="8"/>
        <item x="6"/>
        <item x="12"/>
        <item x="10"/>
        <item x="0"/>
        <item x="9"/>
        <item x="5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2">
    <field x="3"/>
    <field x="6"/>
  </rowFields>
  <rowItems count="6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>
      <x v="10"/>
    </i>
    <i r="1">
      <x/>
    </i>
    <i r="1">
      <x v="1"/>
    </i>
    <i r="1">
      <x v="2"/>
    </i>
    <i r="1">
      <x v="3"/>
    </i>
    <i>
      <x v="1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Units_Sold" fld="8" baseField="0" baseItem="0"/>
  </dataFields>
  <formats count="36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3" type="button" dataOnly="0" labelOnly="1" outline="0" axis="axisRow" fieldPosition="0"/>
    </format>
    <format dxfId="56">
      <pivotArea dataOnly="0" labelOnly="1" fieldPosition="0">
        <references count="1">
          <reference field="3" count="0"/>
        </references>
      </pivotArea>
    </format>
    <format dxfId="55">
      <pivotArea dataOnly="0" labelOnly="1" grandRow="1" outline="0" fieldPosition="0"/>
    </format>
    <format dxfId="54">
      <pivotArea dataOnly="0" labelOnly="1" fieldPosition="0">
        <references count="2">
          <reference field="3" count="1" selected="0">
            <x v="0"/>
          </reference>
          <reference field="6" count="0"/>
        </references>
      </pivotArea>
    </format>
    <format dxfId="53">
      <pivotArea dataOnly="0" labelOnly="1" fieldPosition="0">
        <references count="2">
          <reference field="3" count="1" selected="0">
            <x v="1"/>
          </reference>
          <reference field="6" count="0"/>
        </references>
      </pivotArea>
    </format>
    <format dxfId="52">
      <pivotArea dataOnly="0" labelOnly="1" fieldPosition="0">
        <references count="2">
          <reference field="3" count="1" selected="0">
            <x v="2"/>
          </reference>
          <reference field="6" count="0"/>
        </references>
      </pivotArea>
    </format>
    <format dxfId="51">
      <pivotArea dataOnly="0" labelOnly="1" fieldPosition="0">
        <references count="2">
          <reference field="3" count="1" selected="0">
            <x v="3"/>
          </reference>
          <reference field="6" count="0"/>
        </references>
      </pivotArea>
    </format>
    <format dxfId="50">
      <pivotArea dataOnly="0" labelOnly="1" fieldPosition="0">
        <references count="2">
          <reference field="3" count="1" selected="0">
            <x v="4"/>
          </reference>
          <reference field="6" count="0"/>
        </references>
      </pivotArea>
    </format>
    <format dxfId="49">
      <pivotArea dataOnly="0" labelOnly="1" fieldPosition="0">
        <references count="2">
          <reference field="3" count="1" selected="0">
            <x v="5"/>
          </reference>
          <reference field="6" count="0"/>
        </references>
      </pivotArea>
    </format>
    <format dxfId="48">
      <pivotArea dataOnly="0" labelOnly="1" fieldPosition="0">
        <references count="2">
          <reference field="3" count="1" selected="0">
            <x v="6"/>
          </reference>
          <reference field="6" count="0"/>
        </references>
      </pivotArea>
    </format>
    <format dxfId="47">
      <pivotArea dataOnly="0" labelOnly="1" fieldPosition="0">
        <references count="2">
          <reference field="3" count="1" selected="0">
            <x v="7"/>
          </reference>
          <reference field="6" count="0"/>
        </references>
      </pivotArea>
    </format>
    <format dxfId="46">
      <pivotArea dataOnly="0" labelOnly="1" fieldPosition="0">
        <references count="2">
          <reference field="3" count="1" selected="0">
            <x v="8"/>
          </reference>
          <reference field="6" count="0"/>
        </references>
      </pivotArea>
    </format>
    <format dxfId="45">
      <pivotArea dataOnly="0" labelOnly="1" fieldPosition="0">
        <references count="2">
          <reference field="3" count="1" selected="0">
            <x v="9"/>
          </reference>
          <reference field="6" count="0"/>
        </references>
      </pivotArea>
    </format>
    <format dxfId="44">
      <pivotArea dataOnly="0" labelOnly="1" fieldPosition="0">
        <references count="2">
          <reference field="3" count="1" selected="0">
            <x v="10"/>
          </reference>
          <reference field="6" count="0"/>
        </references>
      </pivotArea>
    </format>
    <format dxfId="43">
      <pivotArea dataOnly="0" labelOnly="1" fieldPosition="0">
        <references count="2">
          <reference field="3" count="1" selected="0">
            <x v="11"/>
          </reference>
          <reference field="6" count="0"/>
        </references>
      </pivotArea>
    </format>
    <format dxfId="42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3" type="button" dataOnly="0" labelOnly="1" outline="0" axis="axisRow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2">
          <reference field="3" count="1" selected="0">
            <x v="0"/>
          </reference>
          <reference field="6" count="0"/>
        </references>
      </pivotArea>
    </format>
    <format dxfId="23">
      <pivotArea dataOnly="0" labelOnly="1" fieldPosition="0">
        <references count="2">
          <reference field="3" count="1" selected="0">
            <x v="1"/>
          </reference>
          <reference field="6" count="0"/>
        </references>
      </pivotArea>
    </format>
    <format dxfId="22">
      <pivotArea dataOnly="0" labelOnly="1" fieldPosition="0">
        <references count="2">
          <reference field="3" count="1" selected="0">
            <x v="2"/>
          </reference>
          <reference field="6" count="0"/>
        </references>
      </pivotArea>
    </format>
    <format dxfId="21">
      <pivotArea dataOnly="0" labelOnly="1" fieldPosition="0">
        <references count="2">
          <reference field="3" count="1" selected="0">
            <x v="3"/>
          </reference>
          <reference field="6" count="0"/>
        </references>
      </pivotArea>
    </format>
    <format dxfId="20">
      <pivotArea dataOnly="0" labelOnly="1" fieldPosition="0">
        <references count="2">
          <reference field="3" count="1" selected="0">
            <x v="4"/>
          </reference>
          <reference field="6" count="0"/>
        </references>
      </pivotArea>
    </format>
    <format dxfId="19">
      <pivotArea dataOnly="0" labelOnly="1" fieldPosition="0">
        <references count="2">
          <reference field="3" count="1" selected="0">
            <x v="5"/>
          </reference>
          <reference field="6" count="0"/>
        </references>
      </pivotArea>
    </format>
    <format dxfId="18">
      <pivotArea dataOnly="0" labelOnly="1" fieldPosition="0">
        <references count="2">
          <reference field="3" count="1" selected="0">
            <x v="6"/>
          </reference>
          <reference field="6" count="0"/>
        </references>
      </pivotArea>
    </format>
    <format dxfId="17">
      <pivotArea dataOnly="0" labelOnly="1" fieldPosition="0">
        <references count="2">
          <reference field="3" count="1" selected="0">
            <x v="7"/>
          </reference>
          <reference field="6" count="0"/>
        </references>
      </pivotArea>
    </format>
    <format dxfId="16">
      <pivotArea dataOnly="0" labelOnly="1" fieldPosition="0">
        <references count="2">
          <reference field="3" count="1" selected="0">
            <x v="8"/>
          </reference>
          <reference field="6" count="0"/>
        </references>
      </pivotArea>
    </format>
    <format dxfId="15">
      <pivotArea dataOnly="0" labelOnly="1" fieldPosition="0">
        <references count="2">
          <reference field="3" count="1" selected="0">
            <x v="9"/>
          </reference>
          <reference field="6" count="0"/>
        </references>
      </pivotArea>
    </format>
    <format dxfId="14">
      <pivotArea dataOnly="0" labelOnly="1" fieldPosition="0">
        <references count="2">
          <reference field="3" count="1" selected="0">
            <x v="10"/>
          </reference>
          <reference field="6" count="0"/>
        </references>
      </pivotArea>
    </format>
    <format dxfId="13">
      <pivotArea dataOnly="0" labelOnly="1" fieldPosition="0">
        <references count="2">
          <reference field="3" count="1" selected="0">
            <x v="11"/>
          </reference>
          <reference field="6" count="0"/>
        </references>
      </pivotArea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79943-F6B6-495C-82AB-3495F9321EE2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4:S14" firstHeaderRow="0" firstDataRow="1" firstDataCol="1"/>
  <pivotFields count="14">
    <pivotField showAll="0"/>
    <pivotField numFmtId="14" showAll="0"/>
    <pivotField showAll="0"/>
    <pivotField showAll="0"/>
    <pivotField showAll="0"/>
    <pivotField axis="axisRow" showAll="0">
      <items count="10">
        <item x="0"/>
        <item x="8"/>
        <item x="7"/>
        <item x="5"/>
        <item x="2"/>
        <item x="6"/>
        <item x="3"/>
        <item x="4"/>
        <item x="1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hipping_Cost" fld="11" baseField="0" baseItem="0"/>
    <dataField name="Sum of Units_Sold" fld="8" baseField="0" baseItem="0"/>
  </dataFields>
  <formats count="12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5" type="button" dataOnly="0" labelOnly="1" outline="0" axis="axisRow" fieldPosition="0"/>
    </format>
    <format dxfId="38">
      <pivotArea dataOnly="0" labelOnly="1" fieldPosition="0">
        <references count="1">
          <reference field="5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5" type="button" dataOnly="0" labelOnly="1" outline="0" axis="axisRow" fieldPosition="0"/>
    </format>
    <format dxfId="32">
      <pivotArea dataOnly="0" labelOnly="1" fieldPosition="0">
        <references count="1">
          <reference field="5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6546A-B115-4C4A-B082-810066D87889}">
  <dimension ref="A3:S65"/>
  <sheetViews>
    <sheetView tabSelected="1" workbookViewId="0">
      <selection activeCell="C17" sqref="C17"/>
    </sheetView>
  </sheetViews>
  <sheetFormatPr defaultRowHeight="14.4" x14ac:dyDescent="0.3"/>
  <cols>
    <col min="1" max="1" width="12.44140625" bestFit="1" customWidth="1"/>
    <col min="2" max="2" width="19.21875" bestFit="1" customWidth="1"/>
    <col min="6" max="6" width="12.6640625" bestFit="1" customWidth="1"/>
    <col min="7" max="7" width="16" bestFit="1" customWidth="1"/>
    <col min="11" max="11" width="18.33203125" bestFit="1" customWidth="1"/>
    <col min="12" max="12" width="16" bestFit="1" customWidth="1"/>
    <col min="17" max="17" width="16.5546875" customWidth="1"/>
    <col min="18" max="18" width="19.109375" bestFit="1" customWidth="1"/>
    <col min="19" max="19" width="16" bestFit="1" customWidth="1"/>
  </cols>
  <sheetData>
    <row r="3" spans="1:19" ht="15" thickBot="1" x14ac:dyDescent="0.35">
      <c r="A3" s="5" t="s">
        <v>58</v>
      </c>
      <c r="B3" s="8" t="s">
        <v>57</v>
      </c>
      <c r="F3" s="3"/>
      <c r="G3" s="3"/>
    </row>
    <row r="4" spans="1:19" x14ac:dyDescent="0.3">
      <c r="A4" s="5" t="s">
        <v>16</v>
      </c>
      <c r="B4" s="9">
        <v>468007.46000000008</v>
      </c>
      <c r="F4" s="10" t="s">
        <v>58</v>
      </c>
      <c r="G4" s="12" t="s">
        <v>60</v>
      </c>
      <c r="K4" s="4" t="s">
        <v>58</v>
      </c>
      <c r="L4" s="4" t="s">
        <v>60</v>
      </c>
      <c r="Q4" s="10" t="s">
        <v>58</v>
      </c>
      <c r="R4" s="11" t="s">
        <v>61</v>
      </c>
      <c r="S4" s="12" t="s">
        <v>60</v>
      </c>
    </row>
    <row r="5" spans="1:19" x14ac:dyDescent="0.3">
      <c r="A5" s="5" t="s">
        <v>53</v>
      </c>
      <c r="B5" s="9">
        <v>572284.00000000012</v>
      </c>
      <c r="F5" s="13" t="s">
        <v>30</v>
      </c>
      <c r="G5" s="14">
        <v>52783</v>
      </c>
      <c r="K5" s="5" t="s">
        <v>29</v>
      </c>
      <c r="L5" s="6">
        <v>13135</v>
      </c>
      <c r="Q5" s="13" t="s">
        <v>16</v>
      </c>
      <c r="R5" s="6">
        <v>142555.68000000005</v>
      </c>
      <c r="S5" s="14">
        <v>15998</v>
      </c>
    </row>
    <row r="6" spans="1:19" x14ac:dyDescent="0.3">
      <c r="A6" s="5" t="s">
        <v>48</v>
      </c>
      <c r="B6" s="9">
        <v>299805.40000000008</v>
      </c>
      <c r="F6" s="13" t="s">
        <v>26</v>
      </c>
      <c r="G6" s="14">
        <v>65170</v>
      </c>
      <c r="K6" s="7" t="s">
        <v>35</v>
      </c>
      <c r="L6" s="6">
        <v>1804</v>
      </c>
      <c r="Q6" s="13" t="s">
        <v>53</v>
      </c>
      <c r="R6" s="6">
        <v>171726.77</v>
      </c>
      <c r="S6" s="14">
        <v>14498</v>
      </c>
    </row>
    <row r="7" spans="1:19" x14ac:dyDescent="0.3">
      <c r="A7" s="5" t="s">
        <v>38</v>
      </c>
      <c r="B7" s="9">
        <v>504114.73000000016</v>
      </c>
      <c r="F7" s="13" t="s">
        <v>15</v>
      </c>
      <c r="G7" s="14">
        <v>34112</v>
      </c>
      <c r="K7" s="7" t="s">
        <v>22</v>
      </c>
      <c r="L7" s="6">
        <v>4237</v>
      </c>
      <c r="Q7" s="13" t="s">
        <v>48</v>
      </c>
      <c r="R7" s="6">
        <v>90095.659999999974</v>
      </c>
      <c r="S7" s="14">
        <v>13879</v>
      </c>
    </row>
    <row r="8" spans="1:19" ht="15" thickBot="1" x14ac:dyDescent="0.35">
      <c r="A8" s="5" t="s">
        <v>27</v>
      </c>
      <c r="B8" s="9">
        <v>741174.35000000009</v>
      </c>
      <c r="F8" s="15" t="s">
        <v>59</v>
      </c>
      <c r="G8" s="17">
        <v>152065</v>
      </c>
      <c r="K8" s="7" t="s">
        <v>44</v>
      </c>
      <c r="L8" s="6">
        <v>3757</v>
      </c>
      <c r="Q8" s="13" t="s">
        <v>38</v>
      </c>
      <c r="R8" s="6">
        <v>152947.92999999996</v>
      </c>
      <c r="S8" s="14">
        <v>15145</v>
      </c>
    </row>
    <row r="9" spans="1:19" x14ac:dyDescent="0.3">
      <c r="A9" s="5" t="s">
        <v>43</v>
      </c>
      <c r="B9" s="9">
        <v>510789.38999999996</v>
      </c>
      <c r="K9" s="7" t="s">
        <v>17</v>
      </c>
      <c r="L9" s="6">
        <v>3337</v>
      </c>
      <c r="Q9" s="13" t="s">
        <v>27</v>
      </c>
      <c r="R9" s="6">
        <v>228925.20999999996</v>
      </c>
      <c r="S9" s="14">
        <v>22538</v>
      </c>
    </row>
    <row r="10" spans="1:19" x14ac:dyDescent="0.3">
      <c r="A10" s="5" t="s">
        <v>31</v>
      </c>
      <c r="B10" s="9">
        <v>989705.50999999989</v>
      </c>
      <c r="K10" s="5" t="s">
        <v>42</v>
      </c>
      <c r="L10" s="6">
        <v>11517</v>
      </c>
      <c r="Q10" s="13" t="s">
        <v>43</v>
      </c>
      <c r="R10" s="6">
        <v>149589.8300000001</v>
      </c>
      <c r="S10" s="14">
        <v>15199</v>
      </c>
    </row>
    <row r="11" spans="1:19" x14ac:dyDescent="0.3">
      <c r="A11" s="5" t="s">
        <v>34</v>
      </c>
      <c r="B11" s="9">
        <v>535197.59999999986</v>
      </c>
      <c r="K11" s="7" t="s">
        <v>35</v>
      </c>
      <c r="L11" s="6">
        <v>1771</v>
      </c>
      <c r="Q11" s="13" t="s">
        <v>31</v>
      </c>
      <c r="R11" s="6">
        <v>289760.93000000005</v>
      </c>
      <c r="S11" s="14">
        <v>22439</v>
      </c>
    </row>
    <row r="12" spans="1:19" x14ac:dyDescent="0.3">
      <c r="A12" s="5" t="s">
        <v>21</v>
      </c>
      <c r="B12" s="9">
        <v>772246.7</v>
      </c>
      <c r="K12" s="7" t="s">
        <v>22</v>
      </c>
      <c r="L12" s="6">
        <v>4582</v>
      </c>
      <c r="Q12" s="13" t="s">
        <v>34</v>
      </c>
      <c r="R12" s="6">
        <v>164686.41</v>
      </c>
      <c r="S12" s="14">
        <v>14255</v>
      </c>
    </row>
    <row r="13" spans="1:19" x14ac:dyDescent="0.3">
      <c r="A13" s="5" t="s">
        <v>59</v>
      </c>
      <c r="B13" s="9">
        <v>5393325.1400000006</v>
      </c>
      <c r="K13" s="7" t="s">
        <v>44</v>
      </c>
      <c r="L13" s="6">
        <v>2159</v>
      </c>
      <c r="Q13" s="13" t="s">
        <v>21</v>
      </c>
      <c r="R13" s="6">
        <v>214117.97999999992</v>
      </c>
      <c r="S13" s="14">
        <v>18114</v>
      </c>
    </row>
    <row r="14" spans="1:19" ht="15" thickBot="1" x14ac:dyDescent="0.35">
      <c r="K14" s="7" t="s">
        <v>17</v>
      </c>
      <c r="L14" s="6">
        <v>3005</v>
      </c>
      <c r="Q14" s="15" t="s">
        <v>59</v>
      </c>
      <c r="R14" s="16">
        <v>1604406.4000000001</v>
      </c>
      <c r="S14" s="17">
        <v>152065</v>
      </c>
    </row>
    <row r="15" spans="1:19" x14ac:dyDescent="0.3">
      <c r="C15" s="2" t="s">
        <v>62</v>
      </c>
      <c r="K15" s="5" t="s">
        <v>40</v>
      </c>
      <c r="L15" s="6">
        <v>14893</v>
      </c>
    </row>
    <row r="16" spans="1:19" x14ac:dyDescent="0.3">
      <c r="C16" t="s">
        <v>64</v>
      </c>
      <c r="D16">
        <f>VLOOKUP(C16,A3:B13,2,FALSE)</f>
        <v>504114.73000000016</v>
      </c>
      <c r="K16" s="7" t="s">
        <v>35</v>
      </c>
      <c r="L16" s="6">
        <v>1975</v>
      </c>
      <c r="Q16" s="18" t="s">
        <v>66</v>
      </c>
    </row>
    <row r="17" spans="3:18" x14ac:dyDescent="0.3">
      <c r="K17" s="7" t="s">
        <v>22</v>
      </c>
      <c r="L17" s="6">
        <v>6305</v>
      </c>
    </row>
    <row r="18" spans="3:18" x14ac:dyDescent="0.3">
      <c r="K18" s="7" t="s">
        <v>44</v>
      </c>
      <c r="L18" s="6">
        <v>2003</v>
      </c>
      <c r="Q18" t="s">
        <v>65</v>
      </c>
      <c r="R18">
        <f>HLOOKUP(Q18,Q4:S14,5,FALSE)</f>
        <v>15145</v>
      </c>
    </row>
    <row r="19" spans="3:18" x14ac:dyDescent="0.3">
      <c r="C19" t="s">
        <v>63</v>
      </c>
      <c r="K19" s="7" t="s">
        <v>17</v>
      </c>
      <c r="L19" s="6">
        <v>4610</v>
      </c>
    </row>
    <row r="20" spans="3:18" x14ac:dyDescent="0.3">
      <c r="C20">
        <f>AVERAGE(B4:B12)</f>
        <v>599258.34888888896</v>
      </c>
      <c r="K20" s="5" t="s">
        <v>49</v>
      </c>
      <c r="L20" s="6">
        <v>14001</v>
      </c>
    </row>
    <row r="21" spans="3:18" x14ac:dyDescent="0.3">
      <c r="K21" s="7" t="s">
        <v>35</v>
      </c>
      <c r="L21" s="6">
        <v>1778</v>
      </c>
    </row>
    <row r="22" spans="3:18" x14ac:dyDescent="0.3">
      <c r="K22" s="7" t="s">
        <v>22</v>
      </c>
      <c r="L22" s="6">
        <v>5136</v>
      </c>
    </row>
    <row r="23" spans="3:18" x14ac:dyDescent="0.3">
      <c r="K23" s="7" t="s">
        <v>44</v>
      </c>
      <c r="L23" s="6">
        <v>4940</v>
      </c>
    </row>
    <row r="24" spans="3:18" x14ac:dyDescent="0.3">
      <c r="K24" s="7" t="s">
        <v>17</v>
      </c>
      <c r="L24" s="6">
        <v>2147</v>
      </c>
    </row>
    <row r="25" spans="3:18" x14ac:dyDescent="0.3">
      <c r="K25" s="5" t="s">
        <v>14</v>
      </c>
      <c r="L25" s="6">
        <v>9575</v>
      </c>
    </row>
    <row r="26" spans="3:18" x14ac:dyDescent="0.3">
      <c r="K26" s="7" t="s">
        <v>35</v>
      </c>
      <c r="L26" s="6">
        <v>1280</v>
      </c>
    </row>
    <row r="27" spans="3:18" x14ac:dyDescent="0.3">
      <c r="K27" s="7" t="s">
        <v>22</v>
      </c>
      <c r="L27" s="6">
        <v>4349</v>
      </c>
    </row>
    <row r="28" spans="3:18" x14ac:dyDescent="0.3">
      <c r="K28" s="7" t="s">
        <v>44</v>
      </c>
      <c r="L28" s="6">
        <v>1778</v>
      </c>
    </row>
    <row r="29" spans="3:18" x14ac:dyDescent="0.3">
      <c r="K29" s="7" t="s">
        <v>17</v>
      </c>
      <c r="L29" s="6">
        <v>2168</v>
      </c>
    </row>
    <row r="30" spans="3:18" x14ac:dyDescent="0.3">
      <c r="K30" s="5" t="s">
        <v>46</v>
      </c>
      <c r="L30" s="6">
        <v>10329</v>
      </c>
    </row>
    <row r="31" spans="3:18" x14ac:dyDescent="0.3">
      <c r="K31" s="7" t="s">
        <v>35</v>
      </c>
      <c r="L31" s="6">
        <v>1064</v>
      </c>
    </row>
    <row r="32" spans="3:18" x14ac:dyDescent="0.3">
      <c r="K32" s="7" t="s">
        <v>22</v>
      </c>
      <c r="L32" s="6">
        <v>5440</v>
      </c>
    </row>
    <row r="33" spans="11:12" x14ac:dyDescent="0.3">
      <c r="K33" s="7" t="s">
        <v>44</v>
      </c>
      <c r="L33" s="6">
        <v>2390</v>
      </c>
    </row>
    <row r="34" spans="11:12" x14ac:dyDescent="0.3">
      <c r="K34" s="7" t="s">
        <v>17</v>
      </c>
      <c r="L34" s="6">
        <v>1435</v>
      </c>
    </row>
    <row r="35" spans="11:12" x14ac:dyDescent="0.3">
      <c r="K35" s="5" t="s">
        <v>54</v>
      </c>
      <c r="L35" s="6">
        <v>14862</v>
      </c>
    </row>
    <row r="36" spans="11:12" x14ac:dyDescent="0.3">
      <c r="K36" s="7" t="s">
        <v>35</v>
      </c>
      <c r="L36" s="6">
        <v>3283</v>
      </c>
    </row>
    <row r="37" spans="11:12" x14ac:dyDescent="0.3">
      <c r="K37" s="7" t="s">
        <v>22</v>
      </c>
      <c r="L37" s="6">
        <v>6045</v>
      </c>
    </row>
    <row r="38" spans="11:12" x14ac:dyDescent="0.3">
      <c r="K38" s="7" t="s">
        <v>44</v>
      </c>
      <c r="L38" s="6">
        <v>4245</v>
      </c>
    </row>
    <row r="39" spans="11:12" x14ac:dyDescent="0.3">
      <c r="K39" s="7" t="s">
        <v>17</v>
      </c>
      <c r="L39" s="6">
        <v>1289</v>
      </c>
    </row>
    <row r="40" spans="11:12" x14ac:dyDescent="0.3">
      <c r="K40" s="5" t="s">
        <v>20</v>
      </c>
      <c r="L40" s="6">
        <v>9377</v>
      </c>
    </row>
    <row r="41" spans="11:12" x14ac:dyDescent="0.3">
      <c r="K41" s="7" t="s">
        <v>35</v>
      </c>
      <c r="L41" s="6">
        <v>1096</v>
      </c>
    </row>
    <row r="42" spans="11:12" x14ac:dyDescent="0.3">
      <c r="K42" s="7" t="s">
        <v>22</v>
      </c>
      <c r="L42" s="6">
        <v>3856</v>
      </c>
    </row>
    <row r="43" spans="11:12" x14ac:dyDescent="0.3">
      <c r="K43" s="7" t="s">
        <v>44</v>
      </c>
      <c r="L43" s="6">
        <v>2575</v>
      </c>
    </row>
    <row r="44" spans="11:12" x14ac:dyDescent="0.3">
      <c r="K44" s="7" t="s">
        <v>17</v>
      </c>
      <c r="L44" s="6">
        <v>1850</v>
      </c>
    </row>
    <row r="45" spans="11:12" x14ac:dyDescent="0.3">
      <c r="K45" s="5" t="s">
        <v>37</v>
      </c>
      <c r="L45" s="6">
        <v>14629</v>
      </c>
    </row>
    <row r="46" spans="11:12" x14ac:dyDescent="0.3">
      <c r="K46" s="7" t="s">
        <v>35</v>
      </c>
      <c r="L46" s="6">
        <v>833</v>
      </c>
    </row>
    <row r="47" spans="11:12" x14ac:dyDescent="0.3">
      <c r="K47" s="7" t="s">
        <v>22</v>
      </c>
      <c r="L47" s="6">
        <v>6303</v>
      </c>
    </row>
    <row r="48" spans="11:12" x14ac:dyDescent="0.3">
      <c r="K48" s="7" t="s">
        <v>44</v>
      </c>
      <c r="L48" s="6">
        <v>2697</v>
      </c>
    </row>
    <row r="49" spans="11:12" x14ac:dyDescent="0.3">
      <c r="K49" s="7" t="s">
        <v>17</v>
      </c>
      <c r="L49" s="6">
        <v>4796</v>
      </c>
    </row>
    <row r="50" spans="11:12" x14ac:dyDescent="0.3">
      <c r="K50" s="5" t="s">
        <v>33</v>
      </c>
      <c r="L50" s="6">
        <v>14757</v>
      </c>
    </row>
    <row r="51" spans="11:12" x14ac:dyDescent="0.3">
      <c r="K51" s="7" t="s">
        <v>35</v>
      </c>
      <c r="L51" s="6">
        <v>2065</v>
      </c>
    </row>
    <row r="52" spans="11:12" x14ac:dyDescent="0.3">
      <c r="K52" s="7" t="s">
        <v>22</v>
      </c>
      <c r="L52" s="6">
        <v>6583</v>
      </c>
    </row>
    <row r="53" spans="11:12" x14ac:dyDescent="0.3">
      <c r="K53" s="7" t="s">
        <v>44</v>
      </c>
      <c r="L53" s="6">
        <v>2717</v>
      </c>
    </row>
    <row r="54" spans="11:12" x14ac:dyDescent="0.3">
      <c r="K54" s="7" t="s">
        <v>17</v>
      </c>
      <c r="L54" s="6">
        <v>3392</v>
      </c>
    </row>
    <row r="55" spans="11:12" x14ac:dyDescent="0.3">
      <c r="K55" s="5" t="s">
        <v>25</v>
      </c>
      <c r="L55" s="6">
        <v>12297</v>
      </c>
    </row>
    <row r="56" spans="11:12" x14ac:dyDescent="0.3">
      <c r="K56" s="7" t="s">
        <v>35</v>
      </c>
      <c r="L56" s="6">
        <v>2242</v>
      </c>
    </row>
    <row r="57" spans="11:12" x14ac:dyDescent="0.3">
      <c r="K57" s="7" t="s">
        <v>22</v>
      </c>
      <c r="L57" s="6">
        <v>3805</v>
      </c>
    </row>
    <row r="58" spans="11:12" x14ac:dyDescent="0.3">
      <c r="K58" s="7" t="s">
        <v>44</v>
      </c>
      <c r="L58" s="6">
        <v>3436</v>
      </c>
    </row>
    <row r="59" spans="11:12" x14ac:dyDescent="0.3">
      <c r="K59" s="7" t="s">
        <v>17</v>
      </c>
      <c r="L59" s="6">
        <v>2814</v>
      </c>
    </row>
    <row r="60" spans="11:12" x14ac:dyDescent="0.3">
      <c r="K60" s="5" t="s">
        <v>51</v>
      </c>
      <c r="L60" s="6">
        <v>12693</v>
      </c>
    </row>
    <row r="61" spans="11:12" x14ac:dyDescent="0.3">
      <c r="K61" s="7" t="s">
        <v>35</v>
      </c>
      <c r="L61" s="6">
        <v>1985</v>
      </c>
    </row>
    <row r="62" spans="11:12" x14ac:dyDescent="0.3">
      <c r="K62" s="7" t="s">
        <v>22</v>
      </c>
      <c r="L62" s="6">
        <v>3461</v>
      </c>
    </row>
    <row r="63" spans="11:12" x14ac:dyDescent="0.3">
      <c r="K63" s="7" t="s">
        <v>44</v>
      </c>
      <c r="L63" s="6">
        <v>3398</v>
      </c>
    </row>
    <row r="64" spans="11:12" x14ac:dyDescent="0.3">
      <c r="K64" s="7" t="s">
        <v>17</v>
      </c>
      <c r="L64" s="6">
        <v>3849</v>
      </c>
    </row>
    <row r="65" spans="11:12" x14ac:dyDescent="0.3">
      <c r="K65" s="5" t="s">
        <v>59</v>
      </c>
      <c r="L65" s="6">
        <v>152065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0981-73D3-48F0-BD85-235F8EE1D34B}">
  <dimension ref="A1:N601"/>
  <sheetViews>
    <sheetView workbookViewId="0">
      <selection activeCell="F615" sqref="F615"/>
    </sheetView>
  </sheetViews>
  <sheetFormatPr defaultRowHeight="14.4" x14ac:dyDescent="0.3"/>
  <cols>
    <col min="2" max="2" width="18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9000</v>
      </c>
      <c r="B2" s="1">
        <v>45778</v>
      </c>
      <c r="C2">
        <v>2025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473</v>
      </c>
      <c r="J2">
        <v>350</v>
      </c>
      <c r="K2">
        <v>165550</v>
      </c>
      <c r="L2">
        <v>9402.59</v>
      </c>
      <c r="M2">
        <v>50604.57</v>
      </c>
      <c r="N2" t="s">
        <v>19</v>
      </c>
    </row>
    <row r="3" spans="1:14" x14ac:dyDescent="0.3">
      <c r="A3">
        <v>9001</v>
      </c>
      <c r="B3" s="1">
        <v>45880</v>
      </c>
      <c r="C3">
        <v>2025</v>
      </c>
      <c r="D3" t="s">
        <v>20</v>
      </c>
      <c r="E3" t="s">
        <v>15</v>
      </c>
      <c r="F3" t="s">
        <v>21</v>
      </c>
      <c r="G3" t="s">
        <v>22</v>
      </c>
      <c r="H3" t="s">
        <v>23</v>
      </c>
      <c r="I3">
        <v>294</v>
      </c>
      <c r="J3">
        <v>420</v>
      </c>
      <c r="K3">
        <v>123480</v>
      </c>
      <c r="L3">
        <v>8210.2800000000007</v>
      </c>
      <c r="M3">
        <v>29408.14</v>
      </c>
      <c r="N3" t="s">
        <v>24</v>
      </c>
    </row>
    <row r="4" spans="1:14" x14ac:dyDescent="0.3">
      <c r="A4">
        <v>9002</v>
      </c>
      <c r="B4" s="1">
        <v>45979</v>
      </c>
      <c r="C4">
        <v>2025</v>
      </c>
      <c r="D4" t="s">
        <v>25</v>
      </c>
      <c r="E4" t="s">
        <v>26</v>
      </c>
      <c r="F4" t="s">
        <v>27</v>
      </c>
      <c r="G4" t="s">
        <v>22</v>
      </c>
      <c r="H4" t="s">
        <v>28</v>
      </c>
      <c r="I4">
        <v>491</v>
      </c>
      <c r="J4">
        <v>50</v>
      </c>
      <c r="K4">
        <v>24550</v>
      </c>
      <c r="L4">
        <v>1254.3699999999999</v>
      </c>
      <c r="M4">
        <v>5868.29</v>
      </c>
      <c r="N4" t="s">
        <v>24</v>
      </c>
    </row>
    <row r="5" spans="1:14" x14ac:dyDescent="0.3">
      <c r="A5">
        <v>9003</v>
      </c>
      <c r="B5" s="1">
        <v>45658</v>
      </c>
      <c r="C5">
        <v>2025</v>
      </c>
      <c r="D5" t="s">
        <v>29</v>
      </c>
      <c r="E5" t="s">
        <v>30</v>
      </c>
      <c r="F5" t="s">
        <v>31</v>
      </c>
      <c r="G5" t="s">
        <v>22</v>
      </c>
      <c r="H5" t="s">
        <v>32</v>
      </c>
      <c r="I5">
        <v>105</v>
      </c>
      <c r="J5">
        <v>60</v>
      </c>
      <c r="K5">
        <v>6300</v>
      </c>
      <c r="L5">
        <v>407.18</v>
      </c>
      <c r="M5">
        <v>1939.14</v>
      </c>
      <c r="N5" t="s">
        <v>19</v>
      </c>
    </row>
    <row r="6" spans="1:14" x14ac:dyDescent="0.3">
      <c r="A6">
        <v>9004</v>
      </c>
      <c r="B6" s="1">
        <v>45947</v>
      </c>
      <c r="C6">
        <v>2025</v>
      </c>
      <c r="D6" t="s">
        <v>33</v>
      </c>
      <c r="E6" t="s">
        <v>26</v>
      </c>
      <c r="F6" t="s">
        <v>34</v>
      </c>
      <c r="G6" t="s">
        <v>35</v>
      </c>
      <c r="H6" t="s">
        <v>36</v>
      </c>
      <c r="I6">
        <v>256</v>
      </c>
      <c r="J6">
        <v>35</v>
      </c>
      <c r="K6">
        <v>8960</v>
      </c>
      <c r="L6">
        <v>869.61</v>
      </c>
      <c r="M6">
        <v>2699.77</v>
      </c>
      <c r="N6" t="s">
        <v>19</v>
      </c>
    </row>
    <row r="7" spans="1:14" x14ac:dyDescent="0.3">
      <c r="A7">
        <v>9005</v>
      </c>
      <c r="B7" s="1">
        <v>45927</v>
      </c>
      <c r="C7">
        <v>2025</v>
      </c>
      <c r="D7" t="s">
        <v>37</v>
      </c>
      <c r="E7" t="s">
        <v>26</v>
      </c>
      <c r="F7" t="s">
        <v>27</v>
      </c>
      <c r="G7" t="s">
        <v>22</v>
      </c>
      <c r="H7" t="s">
        <v>23</v>
      </c>
      <c r="I7">
        <v>489</v>
      </c>
      <c r="J7">
        <v>420</v>
      </c>
      <c r="K7">
        <v>205380</v>
      </c>
      <c r="L7">
        <v>16291.49</v>
      </c>
      <c r="M7">
        <v>43413.87</v>
      </c>
      <c r="N7" t="s">
        <v>19</v>
      </c>
    </row>
    <row r="8" spans="1:14" x14ac:dyDescent="0.3">
      <c r="A8">
        <v>9006</v>
      </c>
      <c r="B8" s="1">
        <v>45944</v>
      </c>
      <c r="C8">
        <v>2025</v>
      </c>
      <c r="D8" t="s">
        <v>33</v>
      </c>
      <c r="E8" t="s">
        <v>30</v>
      </c>
      <c r="F8" t="s">
        <v>38</v>
      </c>
      <c r="G8" t="s">
        <v>22</v>
      </c>
      <c r="H8" t="s">
        <v>39</v>
      </c>
      <c r="I8">
        <v>373</v>
      </c>
      <c r="J8">
        <v>25</v>
      </c>
      <c r="K8">
        <v>9325</v>
      </c>
      <c r="L8">
        <v>545.47</v>
      </c>
      <c r="M8">
        <v>2148.9499999999998</v>
      </c>
      <c r="N8" t="s">
        <v>24</v>
      </c>
    </row>
    <row r="9" spans="1:14" x14ac:dyDescent="0.3">
      <c r="A9">
        <v>9007</v>
      </c>
      <c r="B9" s="1">
        <v>45721</v>
      </c>
      <c r="C9">
        <v>2025</v>
      </c>
      <c r="D9" t="s">
        <v>40</v>
      </c>
      <c r="E9" t="s">
        <v>30</v>
      </c>
      <c r="F9" t="s">
        <v>38</v>
      </c>
      <c r="G9" t="s">
        <v>35</v>
      </c>
      <c r="H9" t="s">
        <v>41</v>
      </c>
      <c r="I9">
        <v>157</v>
      </c>
      <c r="J9">
        <v>140</v>
      </c>
      <c r="K9">
        <v>21980</v>
      </c>
      <c r="L9">
        <v>1647.98</v>
      </c>
      <c r="M9">
        <v>6589.8</v>
      </c>
      <c r="N9" t="s">
        <v>19</v>
      </c>
    </row>
    <row r="10" spans="1:14" x14ac:dyDescent="0.3">
      <c r="A10">
        <v>9008</v>
      </c>
      <c r="B10" s="1">
        <v>45708</v>
      </c>
      <c r="C10">
        <v>2025</v>
      </c>
      <c r="D10" t="s">
        <v>42</v>
      </c>
      <c r="E10" t="s">
        <v>30</v>
      </c>
      <c r="F10" t="s">
        <v>43</v>
      </c>
      <c r="G10" t="s">
        <v>44</v>
      </c>
      <c r="H10" t="s">
        <v>45</v>
      </c>
      <c r="I10">
        <v>172</v>
      </c>
      <c r="J10">
        <v>55</v>
      </c>
      <c r="K10">
        <v>9460</v>
      </c>
      <c r="L10">
        <v>774.59</v>
      </c>
      <c r="M10">
        <v>2645.61</v>
      </c>
      <c r="N10" t="s">
        <v>19</v>
      </c>
    </row>
    <row r="11" spans="1:14" x14ac:dyDescent="0.3">
      <c r="A11">
        <v>9009</v>
      </c>
      <c r="B11" s="1">
        <v>45826</v>
      </c>
      <c r="C11">
        <v>2025</v>
      </c>
      <c r="D11" t="s">
        <v>46</v>
      </c>
      <c r="E11" t="s">
        <v>30</v>
      </c>
      <c r="F11" t="s">
        <v>38</v>
      </c>
      <c r="G11" t="s">
        <v>22</v>
      </c>
      <c r="H11" t="s">
        <v>47</v>
      </c>
      <c r="I11">
        <v>399</v>
      </c>
      <c r="J11">
        <v>45</v>
      </c>
      <c r="K11">
        <v>17955</v>
      </c>
      <c r="L11">
        <v>1511.26</v>
      </c>
      <c r="M11">
        <v>3454.79</v>
      </c>
      <c r="N11" t="s">
        <v>24</v>
      </c>
    </row>
    <row r="12" spans="1:14" x14ac:dyDescent="0.3">
      <c r="A12">
        <v>9010</v>
      </c>
      <c r="B12" s="1">
        <v>45949</v>
      </c>
      <c r="C12">
        <v>2025</v>
      </c>
      <c r="D12" t="s">
        <v>33</v>
      </c>
      <c r="E12" t="s">
        <v>26</v>
      </c>
      <c r="F12" t="s">
        <v>48</v>
      </c>
      <c r="G12" t="s">
        <v>22</v>
      </c>
      <c r="H12" t="s">
        <v>39</v>
      </c>
      <c r="I12">
        <v>242</v>
      </c>
      <c r="J12">
        <v>25</v>
      </c>
      <c r="K12">
        <v>6050</v>
      </c>
      <c r="L12">
        <v>350.81</v>
      </c>
      <c r="M12">
        <v>1976.42</v>
      </c>
      <c r="N12" t="s">
        <v>19</v>
      </c>
    </row>
    <row r="13" spans="1:14" x14ac:dyDescent="0.3">
      <c r="A13">
        <v>9011</v>
      </c>
      <c r="B13" s="1">
        <v>45800</v>
      </c>
      <c r="C13">
        <v>2025</v>
      </c>
      <c r="D13" t="s">
        <v>14</v>
      </c>
      <c r="E13" t="s">
        <v>15</v>
      </c>
      <c r="F13" t="s">
        <v>16</v>
      </c>
      <c r="G13" t="s">
        <v>35</v>
      </c>
      <c r="H13" t="s">
        <v>41</v>
      </c>
      <c r="I13">
        <v>225</v>
      </c>
      <c r="J13">
        <v>140</v>
      </c>
      <c r="K13">
        <v>31500</v>
      </c>
      <c r="L13">
        <v>1802.41</v>
      </c>
      <c r="M13">
        <v>10652.72</v>
      </c>
      <c r="N13" t="s">
        <v>24</v>
      </c>
    </row>
    <row r="14" spans="1:14" x14ac:dyDescent="0.3">
      <c r="A14">
        <v>9012</v>
      </c>
      <c r="B14" s="1">
        <v>45755</v>
      </c>
      <c r="C14">
        <v>2025</v>
      </c>
      <c r="D14" t="s">
        <v>49</v>
      </c>
      <c r="E14" t="s">
        <v>15</v>
      </c>
      <c r="F14" t="s">
        <v>21</v>
      </c>
      <c r="G14" t="s">
        <v>44</v>
      </c>
      <c r="H14" t="s">
        <v>50</v>
      </c>
      <c r="I14">
        <v>478</v>
      </c>
      <c r="J14">
        <v>150</v>
      </c>
      <c r="K14">
        <v>71700</v>
      </c>
      <c r="L14">
        <v>3614.44</v>
      </c>
      <c r="M14">
        <v>24906.57</v>
      </c>
      <c r="N14" t="s">
        <v>19</v>
      </c>
    </row>
    <row r="15" spans="1:14" x14ac:dyDescent="0.3">
      <c r="A15">
        <v>9013</v>
      </c>
      <c r="B15" s="1">
        <v>46022</v>
      </c>
      <c r="C15">
        <v>2025</v>
      </c>
      <c r="D15" t="s">
        <v>51</v>
      </c>
      <c r="E15" t="s">
        <v>15</v>
      </c>
      <c r="F15" t="s">
        <v>16</v>
      </c>
      <c r="G15" t="s">
        <v>17</v>
      </c>
      <c r="H15" t="s">
        <v>52</v>
      </c>
      <c r="I15">
        <v>170</v>
      </c>
      <c r="J15">
        <v>300</v>
      </c>
      <c r="K15">
        <v>51000</v>
      </c>
      <c r="L15">
        <v>3491.39</v>
      </c>
      <c r="M15">
        <v>11782.01</v>
      </c>
      <c r="N15" t="s">
        <v>24</v>
      </c>
    </row>
    <row r="16" spans="1:14" x14ac:dyDescent="0.3">
      <c r="A16">
        <v>9014</v>
      </c>
      <c r="B16" s="1">
        <v>45968</v>
      </c>
      <c r="C16">
        <v>2025</v>
      </c>
      <c r="D16" t="s">
        <v>25</v>
      </c>
      <c r="E16" t="s">
        <v>15</v>
      </c>
      <c r="F16" t="s">
        <v>16</v>
      </c>
      <c r="G16" t="s">
        <v>35</v>
      </c>
      <c r="H16" t="s">
        <v>41</v>
      </c>
      <c r="I16">
        <v>275</v>
      </c>
      <c r="J16">
        <v>140</v>
      </c>
      <c r="K16">
        <v>38500</v>
      </c>
      <c r="L16">
        <v>2249.04</v>
      </c>
      <c r="M16">
        <v>8368.7199999999993</v>
      </c>
      <c r="N16" t="s">
        <v>24</v>
      </c>
    </row>
    <row r="17" spans="1:14" x14ac:dyDescent="0.3">
      <c r="A17">
        <v>9015</v>
      </c>
      <c r="B17" s="1">
        <v>45930</v>
      </c>
      <c r="C17">
        <v>2025</v>
      </c>
      <c r="D17" t="s">
        <v>37</v>
      </c>
      <c r="E17" t="s">
        <v>30</v>
      </c>
      <c r="F17" t="s">
        <v>38</v>
      </c>
      <c r="G17" t="s">
        <v>17</v>
      </c>
      <c r="H17" t="s">
        <v>52</v>
      </c>
      <c r="I17">
        <v>271</v>
      </c>
      <c r="J17">
        <v>300</v>
      </c>
      <c r="K17">
        <v>81300</v>
      </c>
      <c r="L17">
        <v>5473.3</v>
      </c>
      <c r="M17">
        <v>23066.29</v>
      </c>
      <c r="N17" t="s">
        <v>24</v>
      </c>
    </row>
    <row r="18" spans="1:14" x14ac:dyDescent="0.3">
      <c r="A18">
        <v>9016</v>
      </c>
      <c r="B18" s="1">
        <v>45904</v>
      </c>
      <c r="C18">
        <v>2025</v>
      </c>
      <c r="D18" t="s">
        <v>37</v>
      </c>
      <c r="E18" t="s">
        <v>26</v>
      </c>
      <c r="F18" t="s">
        <v>53</v>
      </c>
      <c r="G18" t="s">
        <v>22</v>
      </c>
      <c r="H18" t="s">
        <v>39</v>
      </c>
      <c r="I18">
        <v>414</v>
      </c>
      <c r="J18">
        <v>25</v>
      </c>
      <c r="K18">
        <v>10350</v>
      </c>
      <c r="L18">
        <v>652.67999999999995</v>
      </c>
      <c r="M18">
        <v>1984.6</v>
      </c>
      <c r="N18" t="s">
        <v>24</v>
      </c>
    </row>
    <row r="19" spans="1:14" x14ac:dyDescent="0.3">
      <c r="A19">
        <v>9017</v>
      </c>
      <c r="B19" s="1">
        <v>46015</v>
      </c>
      <c r="C19">
        <v>2025</v>
      </c>
      <c r="D19" t="s">
        <v>51</v>
      </c>
      <c r="E19" t="s">
        <v>26</v>
      </c>
      <c r="F19" t="s">
        <v>48</v>
      </c>
      <c r="G19" t="s">
        <v>22</v>
      </c>
      <c r="H19" t="s">
        <v>28</v>
      </c>
      <c r="I19">
        <v>417</v>
      </c>
      <c r="J19">
        <v>50</v>
      </c>
      <c r="K19">
        <v>20850</v>
      </c>
      <c r="L19">
        <v>1357.53</v>
      </c>
      <c r="M19">
        <v>4494.2700000000004</v>
      </c>
      <c r="N19" t="s">
        <v>19</v>
      </c>
    </row>
    <row r="20" spans="1:14" x14ac:dyDescent="0.3">
      <c r="A20">
        <v>9018</v>
      </c>
      <c r="B20" s="1">
        <v>45814</v>
      </c>
      <c r="C20">
        <v>2025</v>
      </c>
      <c r="D20" t="s">
        <v>46</v>
      </c>
      <c r="E20" t="s">
        <v>30</v>
      </c>
      <c r="F20" t="s">
        <v>38</v>
      </c>
      <c r="G20" t="s">
        <v>22</v>
      </c>
      <c r="H20" t="s">
        <v>32</v>
      </c>
      <c r="I20">
        <v>191</v>
      </c>
      <c r="J20">
        <v>60</v>
      </c>
      <c r="K20">
        <v>11460</v>
      </c>
      <c r="L20">
        <v>934.51</v>
      </c>
      <c r="M20">
        <v>2270.06</v>
      </c>
      <c r="N20" t="s">
        <v>19</v>
      </c>
    </row>
    <row r="21" spans="1:14" x14ac:dyDescent="0.3">
      <c r="A21">
        <v>9019</v>
      </c>
      <c r="B21" s="1">
        <v>45786</v>
      </c>
      <c r="C21">
        <v>2025</v>
      </c>
      <c r="D21" t="s">
        <v>14</v>
      </c>
      <c r="E21" t="s">
        <v>26</v>
      </c>
      <c r="F21" t="s">
        <v>48</v>
      </c>
      <c r="G21" t="s">
        <v>22</v>
      </c>
      <c r="H21" t="s">
        <v>28</v>
      </c>
      <c r="I21">
        <v>381</v>
      </c>
      <c r="J21">
        <v>50</v>
      </c>
      <c r="K21">
        <v>19050</v>
      </c>
      <c r="L21">
        <v>1523.47</v>
      </c>
      <c r="M21">
        <v>5379.04</v>
      </c>
      <c r="N21" t="s">
        <v>19</v>
      </c>
    </row>
    <row r="22" spans="1:14" x14ac:dyDescent="0.3">
      <c r="A22">
        <v>9020</v>
      </c>
      <c r="B22" s="1">
        <v>45682</v>
      </c>
      <c r="C22">
        <v>2025</v>
      </c>
      <c r="D22" t="s">
        <v>29</v>
      </c>
      <c r="E22" t="s">
        <v>15</v>
      </c>
      <c r="F22" t="s">
        <v>21</v>
      </c>
      <c r="G22" t="s">
        <v>35</v>
      </c>
      <c r="H22" t="s">
        <v>36</v>
      </c>
      <c r="I22">
        <v>197</v>
      </c>
      <c r="J22">
        <v>35</v>
      </c>
      <c r="K22">
        <v>6895</v>
      </c>
      <c r="L22">
        <v>632.59</v>
      </c>
      <c r="M22">
        <v>1650.65</v>
      </c>
      <c r="N22" t="s">
        <v>24</v>
      </c>
    </row>
    <row r="23" spans="1:14" x14ac:dyDescent="0.3">
      <c r="A23">
        <v>9021</v>
      </c>
      <c r="B23" s="1">
        <v>45658</v>
      </c>
      <c r="C23">
        <v>2025</v>
      </c>
      <c r="D23" t="s">
        <v>29</v>
      </c>
      <c r="E23" t="s">
        <v>30</v>
      </c>
      <c r="F23" t="s">
        <v>38</v>
      </c>
      <c r="G23" t="s">
        <v>17</v>
      </c>
      <c r="H23" t="s">
        <v>18</v>
      </c>
      <c r="I23">
        <v>177</v>
      </c>
      <c r="J23">
        <v>350</v>
      </c>
      <c r="K23">
        <v>61950</v>
      </c>
      <c r="L23">
        <v>5823.98</v>
      </c>
      <c r="M23">
        <v>13312.99</v>
      </c>
      <c r="N23" t="s">
        <v>19</v>
      </c>
    </row>
    <row r="24" spans="1:14" x14ac:dyDescent="0.3">
      <c r="A24">
        <v>9022</v>
      </c>
      <c r="B24" s="1">
        <v>45854</v>
      </c>
      <c r="C24">
        <v>2025</v>
      </c>
      <c r="D24" t="s">
        <v>54</v>
      </c>
      <c r="E24" t="s">
        <v>30</v>
      </c>
      <c r="F24" t="s">
        <v>43</v>
      </c>
      <c r="G24" t="s">
        <v>22</v>
      </c>
      <c r="H24" t="s">
        <v>28</v>
      </c>
      <c r="I24">
        <v>154</v>
      </c>
      <c r="J24">
        <v>50</v>
      </c>
      <c r="K24">
        <v>7700</v>
      </c>
      <c r="L24">
        <v>649.67999999999995</v>
      </c>
      <c r="M24">
        <v>2331.5100000000002</v>
      </c>
      <c r="N24" t="s">
        <v>24</v>
      </c>
    </row>
    <row r="25" spans="1:14" x14ac:dyDescent="0.3">
      <c r="A25">
        <v>9023</v>
      </c>
      <c r="B25" s="1">
        <v>45751</v>
      </c>
      <c r="C25">
        <v>2025</v>
      </c>
      <c r="D25" t="s">
        <v>49</v>
      </c>
      <c r="E25" t="s">
        <v>15</v>
      </c>
      <c r="F25" t="s">
        <v>21</v>
      </c>
      <c r="G25" t="s">
        <v>22</v>
      </c>
      <c r="H25" t="s">
        <v>47</v>
      </c>
      <c r="I25">
        <v>129</v>
      </c>
      <c r="J25">
        <v>45</v>
      </c>
      <c r="K25">
        <v>5805</v>
      </c>
      <c r="L25">
        <v>530.4</v>
      </c>
      <c r="M25">
        <v>1389.54</v>
      </c>
      <c r="N25" t="s">
        <v>24</v>
      </c>
    </row>
    <row r="26" spans="1:14" x14ac:dyDescent="0.3">
      <c r="A26">
        <v>9024</v>
      </c>
      <c r="B26" s="1">
        <v>45799</v>
      </c>
      <c r="C26">
        <v>2025</v>
      </c>
      <c r="D26" t="s">
        <v>14</v>
      </c>
      <c r="E26" t="s">
        <v>26</v>
      </c>
      <c r="F26" t="s">
        <v>48</v>
      </c>
      <c r="G26" t="s">
        <v>44</v>
      </c>
      <c r="H26" t="s">
        <v>50</v>
      </c>
      <c r="I26">
        <v>431</v>
      </c>
      <c r="J26">
        <v>150</v>
      </c>
      <c r="K26">
        <v>64650</v>
      </c>
      <c r="L26">
        <v>3494.72</v>
      </c>
      <c r="M26">
        <v>16210.26</v>
      </c>
      <c r="N26" t="s">
        <v>24</v>
      </c>
    </row>
    <row r="27" spans="1:14" x14ac:dyDescent="0.3">
      <c r="A27">
        <v>9025</v>
      </c>
      <c r="B27" s="1">
        <v>45745</v>
      </c>
      <c r="C27">
        <v>2025</v>
      </c>
      <c r="D27" t="s">
        <v>40</v>
      </c>
      <c r="E27" t="s">
        <v>26</v>
      </c>
      <c r="F27" t="s">
        <v>27</v>
      </c>
      <c r="G27" t="s">
        <v>17</v>
      </c>
      <c r="H27" t="s">
        <v>55</v>
      </c>
      <c r="I27">
        <v>183</v>
      </c>
      <c r="J27">
        <v>120</v>
      </c>
      <c r="K27">
        <v>21960</v>
      </c>
      <c r="L27">
        <v>1448.29</v>
      </c>
      <c r="M27">
        <v>6959.66</v>
      </c>
      <c r="N27" t="s">
        <v>19</v>
      </c>
    </row>
    <row r="28" spans="1:14" x14ac:dyDescent="0.3">
      <c r="A28">
        <v>9026</v>
      </c>
      <c r="B28" s="1">
        <v>45805</v>
      </c>
      <c r="C28">
        <v>2025</v>
      </c>
      <c r="D28" t="s">
        <v>14</v>
      </c>
      <c r="E28" t="s">
        <v>15</v>
      </c>
      <c r="F28" t="s">
        <v>16</v>
      </c>
      <c r="G28" t="s">
        <v>35</v>
      </c>
      <c r="H28" t="s">
        <v>36</v>
      </c>
      <c r="I28">
        <v>412</v>
      </c>
      <c r="J28">
        <v>35</v>
      </c>
      <c r="K28">
        <v>14420</v>
      </c>
      <c r="L28">
        <v>1077.1300000000001</v>
      </c>
      <c r="M28">
        <v>2723.87</v>
      </c>
      <c r="N28" t="s">
        <v>19</v>
      </c>
    </row>
    <row r="29" spans="1:14" x14ac:dyDescent="0.3">
      <c r="A29">
        <v>9027</v>
      </c>
      <c r="B29" s="1">
        <v>46022</v>
      </c>
      <c r="C29">
        <v>2025</v>
      </c>
      <c r="D29" t="s">
        <v>51</v>
      </c>
      <c r="E29" t="s">
        <v>26</v>
      </c>
      <c r="F29" t="s">
        <v>48</v>
      </c>
      <c r="G29" t="s">
        <v>35</v>
      </c>
      <c r="H29" t="s">
        <v>36</v>
      </c>
      <c r="I29">
        <v>320</v>
      </c>
      <c r="J29">
        <v>35</v>
      </c>
      <c r="K29">
        <v>11200</v>
      </c>
      <c r="L29">
        <v>1099.5899999999999</v>
      </c>
      <c r="M29">
        <v>1787.2</v>
      </c>
      <c r="N29" t="s">
        <v>24</v>
      </c>
    </row>
    <row r="30" spans="1:14" x14ac:dyDescent="0.3">
      <c r="A30">
        <v>9028</v>
      </c>
      <c r="B30" s="1">
        <v>45813</v>
      </c>
      <c r="C30">
        <v>2025</v>
      </c>
      <c r="D30" t="s">
        <v>46</v>
      </c>
      <c r="E30" t="s">
        <v>26</v>
      </c>
      <c r="F30" t="s">
        <v>53</v>
      </c>
      <c r="G30" t="s">
        <v>35</v>
      </c>
      <c r="H30" t="s">
        <v>41</v>
      </c>
      <c r="I30">
        <v>221</v>
      </c>
      <c r="J30">
        <v>140</v>
      </c>
      <c r="K30">
        <v>30940</v>
      </c>
      <c r="L30">
        <v>1890.39</v>
      </c>
      <c r="M30">
        <v>10390.4</v>
      </c>
      <c r="N30" t="s">
        <v>24</v>
      </c>
    </row>
    <row r="31" spans="1:14" x14ac:dyDescent="0.3">
      <c r="A31">
        <v>9029</v>
      </c>
      <c r="B31" s="1">
        <v>45700</v>
      </c>
      <c r="C31">
        <v>2025</v>
      </c>
      <c r="D31" t="s">
        <v>42</v>
      </c>
      <c r="E31" t="s">
        <v>15</v>
      </c>
      <c r="F31" t="s">
        <v>21</v>
      </c>
      <c r="G31" t="s">
        <v>17</v>
      </c>
      <c r="H31" t="s">
        <v>52</v>
      </c>
      <c r="I31">
        <v>90</v>
      </c>
      <c r="J31">
        <v>300</v>
      </c>
      <c r="K31">
        <v>27000</v>
      </c>
      <c r="L31">
        <v>2470.84</v>
      </c>
      <c r="M31">
        <v>4824.1400000000003</v>
      </c>
      <c r="N31" t="s">
        <v>24</v>
      </c>
    </row>
    <row r="32" spans="1:14" x14ac:dyDescent="0.3">
      <c r="A32">
        <v>9030</v>
      </c>
      <c r="B32" s="1">
        <v>45989</v>
      </c>
      <c r="C32">
        <v>2025</v>
      </c>
      <c r="D32" t="s">
        <v>25</v>
      </c>
      <c r="E32" t="s">
        <v>30</v>
      </c>
      <c r="F32" t="s">
        <v>38</v>
      </c>
      <c r="G32" t="s">
        <v>22</v>
      </c>
      <c r="H32" t="s">
        <v>47</v>
      </c>
      <c r="I32">
        <v>264</v>
      </c>
      <c r="J32">
        <v>45</v>
      </c>
      <c r="K32">
        <v>11880</v>
      </c>
      <c r="L32">
        <v>859.14</v>
      </c>
      <c r="M32">
        <v>3854.28</v>
      </c>
      <c r="N32" t="s">
        <v>24</v>
      </c>
    </row>
    <row r="33" spans="1:14" x14ac:dyDescent="0.3">
      <c r="A33">
        <v>9031</v>
      </c>
      <c r="B33" s="1">
        <v>45986</v>
      </c>
      <c r="C33">
        <v>2025</v>
      </c>
      <c r="D33" t="s">
        <v>25</v>
      </c>
      <c r="E33" t="s">
        <v>26</v>
      </c>
      <c r="F33" t="s">
        <v>48</v>
      </c>
      <c r="G33" t="s">
        <v>44</v>
      </c>
      <c r="H33" t="s">
        <v>56</v>
      </c>
      <c r="I33">
        <v>129</v>
      </c>
      <c r="J33">
        <v>80</v>
      </c>
      <c r="K33">
        <v>10320</v>
      </c>
      <c r="L33">
        <v>973.87</v>
      </c>
      <c r="M33">
        <v>2165.35</v>
      </c>
      <c r="N33" t="s">
        <v>19</v>
      </c>
    </row>
    <row r="34" spans="1:14" x14ac:dyDescent="0.3">
      <c r="A34">
        <v>9032</v>
      </c>
      <c r="B34" s="1">
        <v>45784</v>
      </c>
      <c r="C34">
        <v>2025</v>
      </c>
      <c r="D34" t="s">
        <v>14</v>
      </c>
      <c r="E34" t="s">
        <v>30</v>
      </c>
      <c r="F34" t="s">
        <v>43</v>
      </c>
      <c r="G34" t="s">
        <v>17</v>
      </c>
      <c r="H34" t="s">
        <v>55</v>
      </c>
      <c r="I34">
        <v>112</v>
      </c>
      <c r="J34">
        <v>120</v>
      </c>
      <c r="K34">
        <v>13440</v>
      </c>
      <c r="L34">
        <v>921.02</v>
      </c>
      <c r="M34">
        <v>4041.84</v>
      </c>
      <c r="N34" t="s">
        <v>24</v>
      </c>
    </row>
    <row r="35" spans="1:14" x14ac:dyDescent="0.3">
      <c r="A35">
        <v>9033</v>
      </c>
      <c r="B35" s="1">
        <v>45663</v>
      </c>
      <c r="C35">
        <v>2025</v>
      </c>
      <c r="D35" t="s">
        <v>29</v>
      </c>
      <c r="E35" t="s">
        <v>30</v>
      </c>
      <c r="F35" t="s">
        <v>38</v>
      </c>
      <c r="G35" t="s">
        <v>22</v>
      </c>
      <c r="H35" t="s">
        <v>32</v>
      </c>
      <c r="I35">
        <v>107</v>
      </c>
      <c r="J35">
        <v>60</v>
      </c>
      <c r="K35">
        <v>6420</v>
      </c>
      <c r="L35">
        <v>476.03</v>
      </c>
      <c r="M35">
        <v>1902.59</v>
      </c>
      <c r="N35" t="s">
        <v>19</v>
      </c>
    </row>
    <row r="36" spans="1:14" x14ac:dyDescent="0.3">
      <c r="A36">
        <v>9034</v>
      </c>
      <c r="B36" s="1">
        <v>45864</v>
      </c>
      <c r="C36">
        <v>2025</v>
      </c>
      <c r="D36" t="s">
        <v>54</v>
      </c>
      <c r="E36" t="s">
        <v>30</v>
      </c>
      <c r="F36" t="s">
        <v>31</v>
      </c>
      <c r="G36" t="s">
        <v>35</v>
      </c>
      <c r="H36" t="s">
        <v>36</v>
      </c>
      <c r="I36">
        <v>171</v>
      </c>
      <c r="J36">
        <v>35</v>
      </c>
      <c r="K36">
        <v>5985</v>
      </c>
      <c r="L36">
        <v>357.12</v>
      </c>
      <c r="M36">
        <v>1504.92</v>
      </c>
      <c r="N36" t="s">
        <v>24</v>
      </c>
    </row>
    <row r="37" spans="1:14" x14ac:dyDescent="0.3">
      <c r="A37">
        <v>9035</v>
      </c>
      <c r="B37" s="1">
        <v>45782</v>
      </c>
      <c r="C37">
        <v>2025</v>
      </c>
      <c r="D37" t="s">
        <v>14</v>
      </c>
      <c r="E37" t="s">
        <v>26</v>
      </c>
      <c r="F37" t="s">
        <v>27</v>
      </c>
      <c r="G37" t="s">
        <v>22</v>
      </c>
      <c r="H37" t="s">
        <v>28</v>
      </c>
      <c r="I37">
        <v>34</v>
      </c>
      <c r="J37">
        <v>50</v>
      </c>
      <c r="K37">
        <v>1700</v>
      </c>
      <c r="L37">
        <v>92.38</v>
      </c>
      <c r="M37">
        <v>491.5</v>
      </c>
      <c r="N37" t="s">
        <v>19</v>
      </c>
    </row>
    <row r="38" spans="1:14" x14ac:dyDescent="0.3">
      <c r="A38">
        <v>9036</v>
      </c>
      <c r="B38" s="1">
        <v>45953</v>
      </c>
      <c r="C38">
        <v>2025</v>
      </c>
      <c r="D38" t="s">
        <v>33</v>
      </c>
      <c r="E38" t="s">
        <v>26</v>
      </c>
      <c r="F38" t="s">
        <v>34</v>
      </c>
      <c r="G38" t="s">
        <v>44</v>
      </c>
      <c r="H38" t="s">
        <v>45</v>
      </c>
      <c r="I38">
        <v>356</v>
      </c>
      <c r="J38">
        <v>55</v>
      </c>
      <c r="K38">
        <v>19580</v>
      </c>
      <c r="L38">
        <v>1187.78</v>
      </c>
      <c r="M38">
        <v>5179.16</v>
      </c>
      <c r="N38" t="s">
        <v>24</v>
      </c>
    </row>
    <row r="39" spans="1:14" x14ac:dyDescent="0.3">
      <c r="A39">
        <v>9037</v>
      </c>
      <c r="B39" s="1">
        <v>45933</v>
      </c>
      <c r="C39">
        <v>2025</v>
      </c>
      <c r="D39" t="s">
        <v>33</v>
      </c>
      <c r="E39" t="s">
        <v>30</v>
      </c>
      <c r="F39" t="s">
        <v>31</v>
      </c>
      <c r="G39" t="s">
        <v>22</v>
      </c>
      <c r="H39" t="s">
        <v>47</v>
      </c>
      <c r="I39">
        <v>311</v>
      </c>
      <c r="J39">
        <v>45</v>
      </c>
      <c r="K39">
        <v>13995</v>
      </c>
      <c r="L39">
        <v>1388.21</v>
      </c>
      <c r="M39">
        <v>3327.47</v>
      </c>
      <c r="N39" t="s">
        <v>24</v>
      </c>
    </row>
    <row r="40" spans="1:14" x14ac:dyDescent="0.3">
      <c r="A40">
        <v>9038</v>
      </c>
      <c r="B40" s="1">
        <v>45703</v>
      </c>
      <c r="C40">
        <v>2025</v>
      </c>
      <c r="D40" t="s">
        <v>42</v>
      </c>
      <c r="E40" t="s">
        <v>30</v>
      </c>
      <c r="F40" t="s">
        <v>43</v>
      </c>
      <c r="G40" t="s">
        <v>44</v>
      </c>
      <c r="H40" t="s">
        <v>56</v>
      </c>
      <c r="I40">
        <v>215</v>
      </c>
      <c r="J40">
        <v>80</v>
      </c>
      <c r="K40">
        <v>17200</v>
      </c>
      <c r="L40">
        <v>1630.03</v>
      </c>
      <c r="M40">
        <v>3467.19</v>
      </c>
      <c r="N40" t="s">
        <v>19</v>
      </c>
    </row>
    <row r="41" spans="1:14" x14ac:dyDescent="0.3">
      <c r="A41">
        <v>9039</v>
      </c>
      <c r="B41" s="1">
        <v>45777</v>
      </c>
      <c r="C41">
        <v>2025</v>
      </c>
      <c r="D41" t="s">
        <v>49</v>
      </c>
      <c r="E41" t="s">
        <v>26</v>
      </c>
      <c r="F41" t="s">
        <v>34</v>
      </c>
      <c r="G41" t="s">
        <v>44</v>
      </c>
      <c r="H41" t="s">
        <v>50</v>
      </c>
      <c r="I41">
        <v>325</v>
      </c>
      <c r="J41">
        <v>150</v>
      </c>
      <c r="K41">
        <v>48750</v>
      </c>
      <c r="L41">
        <v>4595.8999999999996</v>
      </c>
      <c r="M41">
        <v>14790.45</v>
      </c>
      <c r="N41" t="s">
        <v>24</v>
      </c>
    </row>
    <row r="42" spans="1:14" x14ac:dyDescent="0.3">
      <c r="A42">
        <v>9040</v>
      </c>
      <c r="B42" s="1">
        <v>45848</v>
      </c>
      <c r="C42">
        <v>2025</v>
      </c>
      <c r="D42" t="s">
        <v>54</v>
      </c>
      <c r="E42" t="s">
        <v>30</v>
      </c>
      <c r="F42" t="s">
        <v>31</v>
      </c>
      <c r="G42" t="s">
        <v>44</v>
      </c>
      <c r="H42" t="s">
        <v>45</v>
      </c>
      <c r="I42">
        <v>366</v>
      </c>
      <c r="J42">
        <v>55</v>
      </c>
      <c r="K42">
        <v>20130</v>
      </c>
      <c r="L42">
        <v>1432.93</v>
      </c>
      <c r="M42">
        <v>5766.14</v>
      </c>
      <c r="N42" t="s">
        <v>24</v>
      </c>
    </row>
    <row r="43" spans="1:14" x14ac:dyDescent="0.3">
      <c r="A43">
        <v>9041</v>
      </c>
      <c r="B43" s="1">
        <v>45741</v>
      </c>
      <c r="C43">
        <v>2025</v>
      </c>
      <c r="D43" t="s">
        <v>40</v>
      </c>
      <c r="E43" t="s">
        <v>30</v>
      </c>
      <c r="F43" t="s">
        <v>38</v>
      </c>
      <c r="G43" t="s">
        <v>22</v>
      </c>
      <c r="H43" t="s">
        <v>39</v>
      </c>
      <c r="I43">
        <v>400</v>
      </c>
      <c r="J43">
        <v>25</v>
      </c>
      <c r="K43">
        <v>10000</v>
      </c>
      <c r="L43">
        <v>990.02</v>
      </c>
      <c r="M43">
        <v>1912.98</v>
      </c>
      <c r="N43" t="s">
        <v>24</v>
      </c>
    </row>
    <row r="44" spans="1:14" x14ac:dyDescent="0.3">
      <c r="A44">
        <v>9042</v>
      </c>
      <c r="B44" s="1">
        <v>45788</v>
      </c>
      <c r="C44">
        <v>2025</v>
      </c>
      <c r="D44" t="s">
        <v>14</v>
      </c>
      <c r="E44" t="s">
        <v>30</v>
      </c>
      <c r="F44" t="s">
        <v>38</v>
      </c>
      <c r="G44" t="s">
        <v>22</v>
      </c>
      <c r="H44" t="s">
        <v>32</v>
      </c>
      <c r="I44">
        <v>205</v>
      </c>
      <c r="J44">
        <v>60</v>
      </c>
      <c r="K44">
        <v>12300</v>
      </c>
      <c r="L44">
        <v>638.28</v>
      </c>
      <c r="M44">
        <v>4018.14</v>
      </c>
      <c r="N44" t="s">
        <v>19</v>
      </c>
    </row>
    <row r="45" spans="1:14" x14ac:dyDescent="0.3">
      <c r="A45">
        <v>9043</v>
      </c>
      <c r="B45" s="1">
        <v>45685</v>
      </c>
      <c r="C45">
        <v>2025</v>
      </c>
      <c r="D45" t="s">
        <v>29</v>
      </c>
      <c r="E45" t="s">
        <v>30</v>
      </c>
      <c r="F45" t="s">
        <v>43</v>
      </c>
      <c r="G45" t="s">
        <v>22</v>
      </c>
      <c r="H45" t="s">
        <v>39</v>
      </c>
      <c r="I45">
        <v>353</v>
      </c>
      <c r="J45">
        <v>25</v>
      </c>
      <c r="K45">
        <v>8825</v>
      </c>
      <c r="L45">
        <v>620.62</v>
      </c>
      <c r="M45">
        <v>2733.75</v>
      </c>
      <c r="N45" t="s">
        <v>24</v>
      </c>
    </row>
    <row r="46" spans="1:14" x14ac:dyDescent="0.3">
      <c r="A46">
        <v>9044</v>
      </c>
      <c r="B46" s="1">
        <v>45767</v>
      </c>
      <c r="C46">
        <v>2025</v>
      </c>
      <c r="D46" t="s">
        <v>49</v>
      </c>
      <c r="E46" t="s">
        <v>30</v>
      </c>
      <c r="F46" t="s">
        <v>38</v>
      </c>
      <c r="G46" t="s">
        <v>35</v>
      </c>
      <c r="H46" t="s">
        <v>41</v>
      </c>
      <c r="I46">
        <v>153</v>
      </c>
      <c r="J46">
        <v>140</v>
      </c>
      <c r="K46">
        <v>21420</v>
      </c>
      <c r="L46">
        <v>1473.61</v>
      </c>
      <c r="M46">
        <v>5987.85</v>
      </c>
      <c r="N46" t="s">
        <v>19</v>
      </c>
    </row>
    <row r="47" spans="1:14" x14ac:dyDescent="0.3">
      <c r="A47">
        <v>9045</v>
      </c>
      <c r="B47" s="1">
        <v>45726</v>
      </c>
      <c r="C47">
        <v>2025</v>
      </c>
      <c r="D47" t="s">
        <v>40</v>
      </c>
      <c r="E47" t="s">
        <v>30</v>
      </c>
      <c r="F47" t="s">
        <v>31</v>
      </c>
      <c r="G47" t="s">
        <v>17</v>
      </c>
      <c r="H47" t="s">
        <v>18</v>
      </c>
      <c r="I47">
        <v>92</v>
      </c>
      <c r="J47">
        <v>350</v>
      </c>
      <c r="K47">
        <v>32200</v>
      </c>
      <c r="L47">
        <v>2953.25</v>
      </c>
      <c r="M47">
        <v>6202.4</v>
      </c>
      <c r="N47" t="s">
        <v>24</v>
      </c>
    </row>
    <row r="48" spans="1:14" x14ac:dyDescent="0.3">
      <c r="A48">
        <v>9046</v>
      </c>
      <c r="B48" s="1">
        <v>46014</v>
      </c>
      <c r="C48">
        <v>2025</v>
      </c>
      <c r="D48" t="s">
        <v>51</v>
      </c>
      <c r="E48" t="s">
        <v>26</v>
      </c>
      <c r="F48" t="s">
        <v>27</v>
      </c>
      <c r="G48" t="s">
        <v>17</v>
      </c>
      <c r="H48" t="s">
        <v>52</v>
      </c>
      <c r="I48">
        <v>169</v>
      </c>
      <c r="J48">
        <v>300</v>
      </c>
      <c r="K48">
        <v>50700</v>
      </c>
      <c r="L48">
        <v>2542.58</v>
      </c>
      <c r="M48">
        <v>12873.77</v>
      </c>
      <c r="N48" t="s">
        <v>24</v>
      </c>
    </row>
    <row r="49" spans="1:14" x14ac:dyDescent="0.3">
      <c r="A49">
        <v>9047</v>
      </c>
      <c r="B49" s="1">
        <v>45950</v>
      </c>
      <c r="C49">
        <v>2025</v>
      </c>
      <c r="D49" t="s">
        <v>33</v>
      </c>
      <c r="E49" t="s">
        <v>26</v>
      </c>
      <c r="F49" t="s">
        <v>27</v>
      </c>
      <c r="G49" t="s">
        <v>22</v>
      </c>
      <c r="H49" t="s">
        <v>32</v>
      </c>
      <c r="I49">
        <v>217</v>
      </c>
      <c r="J49">
        <v>60</v>
      </c>
      <c r="K49">
        <v>13020</v>
      </c>
      <c r="L49">
        <v>969.88</v>
      </c>
      <c r="M49">
        <v>2508.56</v>
      </c>
      <c r="N49" t="s">
        <v>24</v>
      </c>
    </row>
    <row r="50" spans="1:14" x14ac:dyDescent="0.3">
      <c r="A50">
        <v>9048</v>
      </c>
      <c r="B50" s="1">
        <v>45915</v>
      </c>
      <c r="C50">
        <v>2025</v>
      </c>
      <c r="D50" t="s">
        <v>37</v>
      </c>
      <c r="E50" t="s">
        <v>26</v>
      </c>
      <c r="F50" t="s">
        <v>48</v>
      </c>
      <c r="G50" t="s">
        <v>35</v>
      </c>
      <c r="H50" t="s">
        <v>41</v>
      </c>
      <c r="I50">
        <v>204</v>
      </c>
      <c r="J50">
        <v>140</v>
      </c>
      <c r="K50">
        <v>28560</v>
      </c>
      <c r="L50">
        <v>2634.08</v>
      </c>
      <c r="M50">
        <v>7196.59</v>
      </c>
      <c r="N50" t="s">
        <v>24</v>
      </c>
    </row>
    <row r="51" spans="1:14" x14ac:dyDescent="0.3">
      <c r="A51">
        <v>9049</v>
      </c>
      <c r="B51" s="1">
        <v>45954</v>
      </c>
      <c r="C51">
        <v>2025</v>
      </c>
      <c r="D51" t="s">
        <v>33</v>
      </c>
      <c r="E51" t="s">
        <v>26</v>
      </c>
      <c r="F51" t="s">
        <v>53</v>
      </c>
      <c r="G51" t="s">
        <v>22</v>
      </c>
      <c r="H51" t="s">
        <v>23</v>
      </c>
      <c r="I51">
        <v>298</v>
      </c>
      <c r="J51">
        <v>420</v>
      </c>
      <c r="K51">
        <v>125160</v>
      </c>
      <c r="L51">
        <v>7159.14</v>
      </c>
      <c r="M51">
        <v>24870.51</v>
      </c>
      <c r="N51" t="s">
        <v>24</v>
      </c>
    </row>
    <row r="52" spans="1:14" x14ac:dyDescent="0.3">
      <c r="A52">
        <v>9050</v>
      </c>
      <c r="B52" s="1">
        <v>45692</v>
      </c>
      <c r="C52">
        <v>2025</v>
      </c>
      <c r="D52" t="s">
        <v>42</v>
      </c>
      <c r="E52" t="s">
        <v>26</v>
      </c>
      <c r="F52" t="s">
        <v>27</v>
      </c>
      <c r="G52" t="s">
        <v>22</v>
      </c>
      <c r="H52" t="s">
        <v>32</v>
      </c>
      <c r="I52">
        <v>107</v>
      </c>
      <c r="J52">
        <v>60</v>
      </c>
      <c r="K52">
        <v>6420</v>
      </c>
      <c r="L52">
        <v>573.79</v>
      </c>
      <c r="M52">
        <v>1058.72</v>
      </c>
      <c r="N52" t="s">
        <v>24</v>
      </c>
    </row>
    <row r="53" spans="1:14" x14ac:dyDescent="0.3">
      <c r="A53">
        <v>9051</v>
      </c>
      <c r="B53" s="1">
        <v>45844</v>
      </c>
      <c r="C53">
        <v>2025</v>
      </c>
      <c r="D53" t="s">
        <v>54</v>
      </c>
      <c r="E53" t="s">
        <v>15</v>
      </c>
      <c r="F53" t="s">
        <v>21</v>
      </c>
      <c r="G53" t="s">
        <v>22</v>
      </c>
      <c r="H53" t="s">
        <v>23</v>
      </c>
      <c r="I53">
        <v>369</v>
      </c>
      <c r="J53">
        <v>420</v>
      </c>
      <c r="K53">
        <v>154980</v>
      </c>
      <c r="L53">
        <v>9601.32</v>
      </c>
      <c r="M53">
        <v>30230.99</v>
      </c>
      <c r="N53" t="s">
        <v>19</v>
      </c>
    </row>
    <row r="54" spans="1:14" x14ac:dyDescent="0.3">
      <c r="A54">
        <v>9052</v>
      </c>
      <c r="B54" s="1">
        <v>45961</v>
      </c>
      <c r="C54">
        <v>2025</v>
      </c>
      <c r="D54" t="s">
        <v>33</v>
      </c>
      <c r="E54" t="s">
        <v>26</v>
      </c>
      <c r="F54" t="s">
        <v>34</v>
      </c>
      <c r="G54" t="s">
        <v>22</v>
      </c>
      <c r="H54" t="s">
        <v>28</v>
      </c>
      <c r="I54">
        <v>192</v>
      </c>
      <c r="J54">
        <v>50</v>
      </c>
      <c r="K54">
        <v>9600</v>
      </c>
      <c r="L54">
        <v>916.42</v>
      </c>
      <c r="M54">
        <v>2115.14</v>
      </c>
      <c r="N54" t="s">
        <v>19</v>
      </c>
    </row>
    <row r="55" spans="1:14" x14ac:dyDescent="0.3">
      <c r="A55">
        <v>9053</v>
      </c>
      <c r="B55" s="1">
        <v>46001</v>
      </c>
      <c r="C55">
        <v>2025</v>
      </c>
      <c r="D55" t="s">
        <v>51</v>
      </c>
      <c r="E55" t="s">
        <v>26</v>
      </c>
      <c r="F55" t="s">
        <v>53</v>
      </c>
      <c r="G55" t="s">
        <v>35</v>
      </c>
      <c r="H55" t="s">
        <v>41</v>
      </c>
      <c r="I55">
        <v>319</v>
      </c>
      <c r="J55">
        <v>140</v>
      </c>
      <c r="K55">
        <v>44660</v>
      </c>
      <c r="L55">
        <v>3494.88</v>
      </c>
      <c r="M55">
        <v>11036.84</v>
      </c>
      <c r="N55" t="s">
        <v>24</v>
      </c>
    </row>
    <row r="56" spans="1:14" x14ac:dyDescent="0.3">
      <c r="A56">
        <v>9054</v>
      </c>
      <c r="B56" s="1">
        <v>45940</v>
      </c>
      <c r="C56">
        <v>2025</v>
      </c>
      <c r="D56" t="s">
        <v>33</v>
      </c>
      <c r="E56" t="s">
        <v>26</v>
      </c>
      <c r="F56" t="s">
        <v>48</v>
      </c>
      <c r="G56" t="s">
        <v>22</v>
      </c>
      <c r="H56" t="s">
        <v>32</v>
      </c>
      <c r="I56">
        <v>374</v>
      </c>
      <c r="J56">
        <v>60</v>
      </c>
      <c r="K56">
        <v>22440</v>
      </c>
      <c r="L56">
        <v>1927.06</v>
      </c>
      <c r="M56">
        <v>6197.91</v>
      </c>
      <c r="N56" t="s">
        <v>19</v>
      </c>
    </row>
    <row r="57" spans="1:14" x14ac:dyDescent="0.3">
      <c r="A57">
        <v>9055</v>
      </c>
      <c r="B57" s="1">
        <v>45812</v>
      </c>
      <c r="C57">
        <v>2025</v>
      </c>
      <c r="D57" t="s">
        <v>46</v>
      </c>
      <c r="E57" t="s">
        <v>30</v>
      </c>
      <c r="F57" t="s">
        <v>38</v>
      </c>
      <c r="G57" t="s">
        <v>44</v>
      </c>
      <c r="H57" t="s">
        <v>45</v>
      </c>
      <c r="I57">
        <v>244</v>
      </c>
      <c r="J57">
        <v>55</v>
      </c>
      <c r="K57">
        <v>13420</v>
      </c>
      <c r="L57">
        <v>814.56</v>
      </c>
      <c r="M57">
        <v>3707.73</v>
      </c>
      <c r="N57" t="s">
        <v>24</v>
      </c>
    </row>
    <row r="58" spans="1:14" x14ac:dyDescent="0.3">
      <c r="A58">
        <v>9056</v>
      </c>
      <c r="B58" s="1">
        <v>46005</v>
      </c>
      <c r="C58">
        <v>2025</v>
      </c>
      <c r="D58" t="s">
        <v>51</v>
      </c>
      <c r="E58" t="s">
        <v>26</v>
      </c>
      <c r="F58" t="s">
        <v>27</v>
      </c>
      <c r="G58" t="s">
        <v>17</v>
      </c>
      <c r="H58" t="s">
        <v>18</v>
      </c>
      <c r="I58">
        <v>360</v>
      </c>
      <c r="J58">
        <v>350</v>
      </c>
      <c r="K58">
        <v>126000</v>
      </c>
      <c r="L58">
        <v>9452.77</v>
      </c>
      <c r="M58">
        <v>35694.14</v>
      </c>
      <c r="N58" t="s">
        <v>19</v>
      </c>
    </row>
    <row r="59" spans="1:14" x14ac:dyDescent="0.3">
      <c r="A59">
        <v>9057</v>
      </c>
      <c r="B59" s="1">
        <v>45756</v>
      </c>
      <c r="C59">
        <v>2025</v>
      </c>
      <c r="D59" t="s">
        <v>49</v>
      </c>
      <c r="E59" t="s">
        <v>15</v>
      </c>
      <c r="F59" t="s">
        <v>16</v>
      </c>
      <c r="G59" t="s">
        <v>22</v>
      </c>
      <c r="H59" t="s">
        <v>28</v>
      </c>
      <c r="I59">
        <v>435</v>
      </c>
      <c r="J59">
        <v>50</v>
      </c>
      <c r="K59">
        <v>21750</v>
      </c>
      <c r="L59">
        <v>1966.67</v>
      </c>
      <c r="M59">
        <v>6345.56</v>
      </c>
      <c r="N59" t="s">
        <v>24</v>
      </c>
    </row>
    <row r="60" spans="1:14" x14ac:dyDescent="0.3">
      <c r="A60">
        <v>9058</v>
      </c>
      <c r="B60" s="1">
        <v>45912</v>
      </c>
      <c r="C60">
        <v>2025</v>
      </c>
      <c r="D60" t="s">
        <v>37</v>
      </c>
      <c r="E60" t="s">
        <v>30</v>
      </c>
      <c r="F60" t="s">
        <v>38</v>
      </c>
      <c r="G60" t="s">
        <v>17</v>
      </c>
      <c r="H60" t="s">
        <v>52</v>
      </c>
      <c r="I60">
        <v>129</v>
      </c>
      <c r="J60">
        <v>300</v>
      </c>
      <c r="K60">
        <v>38700</v>
      </c>
      <c r="L60">
        <v>2915.51</v>
      </c>
      <c r="M60">
        <v>10664.74</v>
      </c>
      <c r="N60" t="s">
        <v>19</v>
      </c>
    </row>
    <row r="61" spans="1:14" x14ac:dyDescent="0.3">
      <c r="A61">
        <v>9059</v>
      </c>
      <c r="B61" s="1">
        <v>45955</v>
      </c>
      <c r="C61">
        <v>2025</v>
      </c>
      <c r="D61" t="s">
        <v>33</v>
      </c>
      <c r="E61" t="s">
        <v>30</v>
      </c>
      <c r="F61" t="s">
        <v>43</v>
      </c>
      <c r="G61" t="s">
        <v>17</v>
      </c>
      <c r="H61" t="s">
        <v>52</v>
      </c>
      <c r="I61">
        <v>33</v>
      </c>
      <c r="J61">
        <v>300</v>
      </c>
      <c r="K61">
        <v>9900</v>
      </c>
      <c r="L61">
        <v>912.35</v>
      </c>
      <c r="M61">
        <v>2525.4699999999998</v>
      </c>
      <c r="N61" t="s">
        <v>19</v>
      </c>
    </row>
    <row r="62" spans="1:14" x14ac:dyDescent="0.3">
      <c r="A62">
        <v>9060</v>
      </c>
      <c r="B62" s="1">
        <v>45970</v>
      </c>
      <c r="C62">
        <v>2025</v>
      </c>
      <c r="D62" t="s">
        <v>25</v>
      </c>
      <c r="E62" t="s">
        <v>26</v>
      </c>
      <c r="F62" t="s">
        <v>34</v>
      </c>
      <c r="G62" t="s">
        <v>35</v>
      </c>
      <c r="H62" t="s">
        <v>36</v>
      </c>
      <c r="I62">
        <v>70</v>
      </c>
      <c r="J62">
        <v>35</v>
      </c>
      <c r="K62">
        <v>2450</v>
      </c>
      <c r="L62">
        <v>128.49</v>
      </c>
      <c r="M62">
        <v>491.54</v>
      </c>
      <c r="N62" t="s">
        <v>19</v>
      </c>
    </row>
    <row r="63" spans="1:14" x14ac:dyDescent="0.3">
      <c r="A63">
        <v>9061</v>
      </c>
      <c r="B63" s="1">
        <v>45660</v>
      </c>
      <c r="C63">
        <v>2025</v>
      </c>
      <c r="D63" t="s">
        <v>29</v>
      </c>
      <c r="E63" t="s">
        <v>26</v>
      </c>
      <c r="F63" t="s">
        <v>27</v>
      </c>
      <c r="G63" t="s">
        <v>22</v>
      </c>
      <c r="H63" t="s">
        <v>47</v>
      </c>
      <c r="I63">
        <v>243</v>
      </c>
      <c r="J63">
        <v>45</v>
      </c>
      <c r="K63">
        <v>10935</v>
      </c>
      <c r="L63">
        <v>918.75</v>
      </c>
      <c r="M63">
        <v>3401.87</v>
      </c>
      <c r="N63" t="s">
        <v>19</v>
      </c>
    </row>
    <row r="64" spans="1:14" x14ac:dyDescent="0.3">
      <c r="A64">
        <v>9062</v>
      </c>
      <c r="B64" s="1">
        <v>45713</v>
      </c>
      <c r="C64">
        <v>2025</v>
      </c>
      <c r="D64" t="s">
        <v>42</v>
      </c>
      <c r="E64" t="s">
        <v>26</v>
      </c>
      <c r="F64" t="s">
        <v>34</v>
      </c>
      <c r="G64" t="s">
        <v>17</v>
      </c>
      <c r="H64" t="s">
        <v>55</v>
      </c>
      <c r="I64">
        <v>414</v>
      </c>
      <c r="J64">
        <v>120</v>
      </c>
      <c r="K64">
        <v>49680</v>
      </c>
      <c r="L64">
        <v>3602.72</v>
      </c>
      <c r="M64">
        <v>11839.14</v>
      </c>
      <c r="N64" t="s">
        <v>19</v>
      </c>
    </row>
    <row r="65" spans="1:14" x14ac:dyDescent="0.3">
      <c r="A65">
        <v>9063</v>
      </c>
      <c r="B65" s="1">
        <v>45820</v>
      </c>
      <c r="C65">
        <v>2025</v>
      </c>
      <c r="D65" t="s">
        <v>46</v>
      </c>
      <c r="E65" t="s">
        <v>26</v>
      </c>
      <c r="F65" t="s">
        <v>48</v>
      </c>
      <c r="G65" t="s">
        <v>22</v>
      </c>
      <c r="H65" t="s">
        <v>32</v>
      </c>
      <c r="I65">
        <v>451</v>
      </c>
      <c r="J65">
        <v>60</v>
      </c>
      <c r="K65">
        <v>27060</v>
      </c>
      <c r="L65">
        <v>2635.29</v>
      </c>
      <c r="M65">
        <v>5801.53</v>
      </c>
      <c r="N65" t="s">
        <v>24</v>
      </c>
    </row>
    <row r="66" spans="1:14" x14ac:dyDescent="0.3">
      <c r="A66">
        <v>9064</v>
      </c>
      <c r="B66" s="1">
        <v>45772</v>
      </c>
      <c r="C66">
        <v>2025</v>
      </c>
      <c r="D66" t="s">
        <v>49</v>
      </c>
      <c r="E66" t="s">
        <v>30</v>
      </c>
      <c r="F66" t="s">
        <v>31</v>
      </c>
      <c r="G66" t="s">
        <v>22</v>
      </c>
      <c r="H66" t="s">
        <v>28</v>
      </c>
      <c r="I66">
        <v>294</v>
      </c>
      <c r="J66">
        <v>50</v>
      </c>
      <c r="K66">
        <v>14700</v>
      </c>
      <c r="L66">
        <v>986.66</v>
      </c>
      <c r="M66">
        <v>3803.2</v>
      </c>
      <c r="N66" t="s">
        <v>19</v>
      </c>
    </row>
    <row r="67" spans="1:14" x14ac:dyDescent="0.3">
      <c r="A67">
        <v>9065</v>
      </c>
      <c r="B67" s="1">
        <v>45923</v>
      </c>
      <c r="C67">
        <v>2025</v>
      </c>
      <c r="D67" t="s">
        <v>37</v>
      </c>
      <c r="E67" t="s">
        <v>26</v>
      </c>
      <c r="F67" t="s">
        <v>34</v>
      </c>
      <c r="G67" t="s">
        <v>17</v>
      </c>
      <c r="H67" t="s">
        <v>55</v>
      </c>
      <c r="I67">
        <v>198</v>
      </c>
      <c r="J67">
        <v>120</v>
      </c>
      <c r="K67">
        <v>23760</v>
      </c>
      <c r="L67">
        <v>1936.06</v>
      </c>
      <c r="M67">
        <v>5923.15</v>
      </c>
      <c r="N67" t="s">
        <v>24</v>
      </c>
    </row>
    <row r="68" spans="1:14" x14ac:dyDescent="0.3">
      <c r="A68">
        <v>9066</v>
      </c>
      <c r="B68" s="1">
        <v>45705</v>
      </c>
      <c r="C68">
        <v>2025</v>
      </c>
      <c r="D68" t="s">
        <v>42</v>
      </c>
      <c r="E68" t="s">
        <v>26</v>
      </c>
      <c r="F68" t="s">
        <v>27</v>
      </c>
      <c r="G68" t="s">
        <v>22</v>
      </c>
      <c r="H68" t="s">
        <v>28</v>
      </c>
      <c r="I68">
        <v>46</v>
      </c>
      <c r="J68">
        <v>50</v>
      </c>
      <c r="K68">
        <v>2300</v>
      </c>
      <c r="L68">
        <v>213.29</v>
      </c>
      <c r="M68">
        <v>669.55</v>
      </c>
      <c r="N68" t="s">
        <v>19</v>
      </c>
    </row>
    <row r="69" spans="1:14" x14ac:dyDescent="0.3">
      <c r="A69">
        <v>9067</v>
      </c>
      <c r="B69" s="1">
        <v>45710</v>
      </c>
      <c r="C69">
        <v>2025</v>
      </c>
      <c r="D69" t="s">
        <v>42</v>
      </c>
      <c r="E69" t="s">
        <v>30</v>
      </c>
      <c r="F69" t="s">
        <v>31</v>
      </c>
      <c r="G69" t="s">
        <v>17</v>
      </c>
      <c r="H69" t="s">
        <v>52</v>
      </c>
      <c r="I69">
        <v>275</v>
      </c>
      <c r="J69">
        <v>300</v>
      </c>
      <c r="K69">
        <v>82500</v>
      </c>
      <c r="L69">
        <v>7176.72</v>
      </c>
      <c r="M69">
        <v>25600.74</v>
      </c>
      <c r="N69" t="s">
        <v>19</v>
      </c>
    </row>
    <row r="70" spans="1:14" x14ac:dyDescent="0.3">
      <c r="A70">
        <v>9068</v>
      </c>
      <c r="B70" s="1">
        <v>45840</v>
      </c>
      <c r="C70">
        <v>2025</v>
      </c>
      <c r="D70" t="s">
        <v>54</v>
      </c>
      <c r="E70" t="s">
        <v>15</v>
      </c>
      <c r="F70" t="s">
        <v>16</v>
      </c>
      <c r="G70" t="s">
        <v>17</v>
      </c>
      <c r="H70" t="s">
        <v>55</v>
      </c>
      <c r="I70">
        <v>156</v>
      </c>
      <c r="J70">
        <v>120</v>
      </c>
      <c r="K70">
        <v>18720</v>
      </c>
      <c r="L70">
        <v>1678.8</v>
      </c>
      <c r="M70">
        <v>3133.71</v>
      </c>
      <c r="N70" t="s">
        <v>19</v>
      </c>
    </row>
    <row r="71" spans="1:14" x14ac:dyDescent="0.3">
      <c r="A71">
        <v>9069</v>
      </c>
      <c r="B71" s="1">
        <v>45749</v>
      </c>
      <c r="C71">
        <v>2025</v>
      </c>
      <c r="D71" t="s">
        <v>49</v>
      </c>
      <c r="E71" t="s">
        <v>26</v>
      </c>
      <c r="F71" t="s">
        <v>48</v>
      </c>
      <c r="G71" t="s">
        <v>44</v>
      </c>
      <c r="H71" t="s">
        <v>45</v>
      </c>
      <c r="I71">
        <v>252</v>
      </c>
      <c r="J71">
        <v>55</v>
      </c>
      <c r="K71">
        <v>13860</v>
      </c>
      <c r="L71">
        <v>1004.78</v>
      </c>
      <c r="M71">
        <v>3270.9</v>
      </c>
      <c r="N71" t="s">
        <v>19</v>
      </c>
    </row>
    <row r="72" spans="1:14" x14ac:dyDescent="0.3">
      <c r="A72">
        <v>9070</v>
      </c>
      <c r="B72" s="1">
        <v>45909</v>
      </c>
      <c r="C72">
        <v>2025</v>
      </c>
      <c r="D72" t="s">
        <v>37</v>
      </c>
      <c r="E72" t="s">
        <v>15</v>
      </c>
      <c r="F72" t="s">
        <v>21</v>
      </c>
      <c r="G72" t="s">
        <v>22</v>
      </c>
      <c r="H72" t="s">
        <v>47</v>
      </c>
      <c r="I72">
        <v>372</v>
      </c>
      <c r="J72">
        <v>45</v>
      </c>
      <c r="K72">
        <v>16740</v>
      </c>
      <c r="L72">
        <v>1428.94</v>
      </c>
      <c r="M72">
        <v>3342.72</v>
      </c>
      <c r="N72" t="s">
        <v>19</v>
      </c>
    </row>
    <row r="73" spans="1:14" x14ac:dyDescent="0.3">
      <c r="A73">
        <v>9071</v>
      </c>
      <c r="B73" s="1">
        <v>46016</v>
      </c>
      <c r="C73">
        <v>2025</v>
      </c>
      <c r="D73" t="s">
        <v>51</v>
      </c>
      <c r="E73" t="s">
        <v>26</v>
      </c>
      <c r="F73" t="s">
        <v>27</v>
      </c>
      <c r="G73" t="s">
        <v>44</v>
      </c>
      <c r="H73" t="s">
        <v>45</v>
      </c>
      <c r="I73">
        <v>482</v>
      </c>
      <c r="J73">
        <v>55</v>
      </c>
      <c r="K73">
        <v>26510</v>
      </c>
      <c r="L73">
        <v>1449.45</v>
      </c>
      <c r="M73">
        <v>6712.3</v>
      </c>
      <c r="N73" t="s">
        <v>24</v>
      </c>
    </row>
    <row r="74" spans="1:14" x14ac:dyDescent="0.3">
      <c r="A74">
        <v>9072</v>
      </c>
      <c r="B74" s="1">
        <v>45897</v>
      </c>
      <c r="C74">
        <v>2025</v>
      </c>
      <c r="D74" t="s">
        <v>20</v>
      </c>
      <c r="E74" t="s">
        <v>30</v>
      </c>
      <c r="F74" t="s">
        <v>43</v>
      </c>
      <c r="G74" t="s">
        <v>22</v>
      </c>
      <c r="H74" t="s">
        <v>39</v>
      </c>
      <c r="I74">
        <v>465</v>
      </c>
      <c r="J74">
        <v>25</v>
      </c>
      <c r="K74">
        <v>11625</v>
      </c>
      <c r="L74">
        <v>710.47</v>
      </c>
      <c r="M74">
        <v>2228.6</v>
      </c>
      <c r="N74" t="s">
        <v>19</v>
      </c>
    </row>
    <row r="75" spans="1:14" x14ac:dyDescent="0.3">
      <c r="A75">
        <v>9073</v>
      </c>
      <c r="B75" s="1">
        <v>45940</v>
      </c>
      <c r="C75">
        <v>2025</v>
      </c>
      <c r="D75" t="s">
        <v>33</v>
      </c>
      <c r="E75" t="s">
        <v>15</v>
      </c>
      <c r="F75" t="s">
        <v>16</v>
      </c>
      <c r="G75" t="s">
        <v>44</v>
      </c>
      <c r="H75" t="s">
        <v>45</v>
      </c>
      <c r="I75">
        <v>24</v>
      </c>
      <c r="J75">
        <v>55</v>
      </c>
      <c r="K75">
        <v>1320</v>
      </c>
      <c r="L75">
        <v>116.67</v>
      </c>
      <c r="M75">
        <v>410.55</v>
      </c>
      <c r="N75" t="s">
        <v>19</v>
      </c>
    </row>
    <row r="76" spans="1:14" x14ac:dyDescent="0.3">
      <c r="A76">
        <v>9074</v>
      </c>
      <c r="B76" s="1">
        <v>45783</v>
      </c>
      <c r="C76">
        <v>2025</v>
      </c>
      <c r="D76" t="s">
        <v>14</v>
      </c>
      <c r="E76" t="s">
        <v>30</v>
      </c>
      <c r="F76" t="s">
        <v>38</v>
      </c>
      <c r="G76" t="s">
        <v>22</v>
      </c>
      <c r="H76" t="s">
        <v>32</v>
      </c>
      <c r="I76">
        <v>497</v>
      </c>
      <c r="J76">
        <v>60</v>
      </c>
      <c r="K76">
        <v>29820</v>
      </c>
      <c r="L76">
        <v>2624.68</v>
      </c>
      <c r="M76">
        <v>6788.52</v>
      </c>
      <c r="N76" t="s">
        <v>24</v>
      </c>
    </row>
    <row r="77" spans="1:14" x14ac:dyDescent="0.3">
      <c r="A77">
        <v>9075</v>
      </c>
      <c r="B77" s="1">
        <v>45733</v>
      </c>
      <c r="C77">
        <v>2025</v>
      </c>
      <c r="D77" t="s">
        <v>40</v>
      </c>
      <c r="E77" t="s">
        <v>26</v>
      </c>
      <c r="F77" t="s">
        <v>53</v>
      </c>
      <c r="G77" t="s">
        <v>17</v>
      </c>
      <c r="H77" t="s">
        <v>55</v>
      </c>
      <c r="I77">
        <v>50</v>
      </c>
      <c r="J77">
        <v>120</v>
      </c>
      <c r="K77">
        <v>6000</v>
      </c>
      <c r="L77">
        <v>379.28</v>
      </c>
      <c r="M77">
        <v>1320.16</v>
      </c>
      <c r="N77" t="s">
        <v>19</v>
      </c>
    </row>
    <row r="78" spans="1:14" x14ac:dyDescent="0.3">
      <c r="A78">
        <v>9076</v>
      </c>
      <c r="B78" s="1">
        <v>45798</v>
      </c>
      <c r="C78">
        <v>2025</v>
      </c>
      <c r="D78" t="s">
        <v>14</v>
      </c>
      <c r="E78" t="s">
        <v>26</v>
      </c>
      <c r="F78" t="s">
        <v>53</v>
      </c>
      <c r="G78" t="s">
        <v>17</v>
      </c>
      <c r="H78" t="s">
        <v>18</v>
      </c>
      <c r="I78">
        <v>389</v>
      </c>
      <c r="J78">
        <v>350</v>
      </c>
      <c r="K78">
        <v>136150</v>
      </c>
      <c r="L78">
        <v>9582.86</v>
      </c>
      <c r="M78">
        <v>41212.400000000001</v>
      </c>
      <c r="N78" t="s">
        <v>24</v>
      </c>
    </row>
    <row r="79" spans="1:14" x14ac:dyDescent="0.3">
      <c r="A79">
        <v>9077</v>
      </c>
      <c r="B79" s="1">
        <v>45919</v>
      </c>
      <c r="C79">
        <v>2025</v>
      </c>
      <c r="D79" t="s">
        <v>37</v>
      </c>
      <c r="E79" t="s">
        <v>26</v>
      </c>
      <c r="F79" t="s">
        <v>27</v>
      </c>
      <c r="G79" t="s">
        <v>22</v>
      </c>
      <c r="H79" t="s">
        <v>32</v>
      </c>
      <c r="I79">
        <v>398</v>
      </c>
      <c r="J79">
        <v>60</v>
      </c>
      <c r="K79">
        <v>23880</v>
      </c>
      <c r="L79">
        <v>1214.96</v>
      </c>
      <c r="M79">
        <v>5197.88</v>
      </c>
      <c r="N79" t="s">
        <v>24</v>
      </c>
    </row>
    <row r="80" spans="1:14" x14ac:dyDescent="0.3">
      <c r="A80">
        <v>9078</v>
      </c>
      <c r="B80" s="1">
        <v>45960</v>
      </c>
      <c r="C80">
        <v>2025</v>
      </c>
      <c r="D80" t="s">
        <v>33</v>
      </c>
      <c r="E80" t="s">
        <v>26</v>
      </c>
      <c r="F80" t="s">
        <v>34</v>
      </c>
      <c r="G80" t="s">
        <v>22</v>
      </c>
      <c r="H80" t="s">
        <v>39</v>
      </c>
      <c r="I80">
        <v>400</v>
      </c>
      <c r="J80">
        <v>25</v>
      </c>
      <c r="K80">
        <v>10000</v>
      </c>
      <c r="L80">
        <v>642.25</v>
      </c>
      <c r="M80">
        <v>2045.2</v>
      </c>
      <c r="N80" t="s">
        <v>24</v>
      </c>
    </row>
    <row r="81" spans="1:14" x14ac:dyDescent="0.3">
      <c r="A81">
        <v>9079</v>
      </c>
      <c r="B81" s="1">
        <v>45975</v>
      </c>
      <c r="C81">
        <v>2025</v>
      </c>
      <c r="D81" t="s">
        <v>25</v>
      </c>
      <c r="E81" t="s">
        <v>15</v>
      </c>
      <c r="F81" t="s">
        <v>21</v>
      </c>
      <c r="G81" t="s">
        <v>17</v>
      </c>
      <c r="H81" t="s">
        <v>52</v>
      </c>
      <c r="I81">
        <v>236</v>
      </c>
      <c r="J81">
        <v>300</v>
      </c>
      <c r="K81">
        <v>70800</v>
      </c>
      <c r="L81">
        <v>3555.5</v>
      </c>
      <c r="M81">
        <v>19475.27</v>
      </c>
      <c r="N81" t="s">
        <v>24</v>
      </c>
    </row>
    <row r="82" spans="1:14" x14ac:dyDescent="0.3">
      <c r="A82">
        <v>9080</v>
      </c>
      <c r="B82" s="1">
        <v>45869</v>
      </c>
      <c r="C82">
        <v>2025</v>
      </c>
      <c r="D82" t="s">
        <v>54</v>
      </c>
      <c r="E82" t="s">
        <v>26</v>
      </c>
      <c r="F82" t="s">
        <v>34</v>
      </c>
      <c r="G82" t="s">
        <v>22</v>
      </c>
      <c r="H82" t="s">
        <v>23</v>
      </c>
      <c r="I82">
        <v>110</v>
      </c>
      <c r="J82">
        <v>420</v>
      </c>
      <c r="K82">
        <v>46200</v>
      </c>
      <c r="L82">
        <v>2390.44</v>
      </c>
      <c r="M82">
        <v>15396.1</v>
      </c>
      <c r="N82" t="s">
        <v>19</v>
      </c>
    </row>
    <row r="83" spans="1:14" x14ac:dyDescent="0.3">
      <c r="A83">
        <v>9081</v>
      </c>
      <c r="B83" s="1">
        <v>45998</v>
      </c>
      <c r="C83">
        <v>2025</v>
      </c>
      <c r="D83" t="s">
        <v>51</v>
      </c>
      <c r="E83" t="s">
        <v>30</v>
      </c>
      <c r="F83" t="s">
        <v>43</v>
      </c>
      <c r="G83" t="s">
        <v>44</v>
      </c>
      <c r="H83" t="s">
        <v>50</v>
      </c>
      <c r="I83">
        <v>65</v>
      </c>
      <c r="J83">
        <v>150</v>
      </c>
      <c r="K83">
        <v>9750</v>
      </c>
      <c r="L83">
        <v>948.68</v>
      </c>
      <c r="M83">
        <v>2596.62</v>
      </c>
      <c r="N83" t="s">
        <v>24</v>
      </c>
    </row>
    <row r="84" spans="1:14" x14ac:dyDescent="0.3">
      <c r="A84">
        <v>9082</v>
      </c>
      <c r="B84" s="1">
        <v>45874</v>
      </c>
      <c r="C84">
        <v>2025</v>
      </c>
      <c r="D84" t="s">
        <v>20</v>
      </c>
      <c r="E84" t="s">
        <v>30</v>
      </c>
      <c r="F84" t="s">
        <v>31</v>
      </c>
      <c r="G84" t="s">
        <v>22</v>
      </c>
      <c r="H84" t="s">
        <v>23</v>
      </c>
      <c r="I84">
        <v>213</v>
      </c>
      <c r="J84">
        <v>420</v>
      </c>
      <c r="K84">
        <v>89460</v>
      </c>
      <c r="L84">
        <v>5479.43</v>
      </c>
      <c r="M84">
        <v>24725.37</v>
      </c>
      <c r="N84" t="s">
        <v>24</v>
      </c>
    </row>
    <row r="85" spans="1:14" x14ac:dyDescent="0.3">
      <c r="A85">
        <v>9083</v>
      </c>
      <c r="B85" s="1">
        <v>45864</v>
      </c>
      <c r="C85">
        <v>2025</v>
      </c>
      <c r="D85" t="s">
        <v>54</v>
      </c>
      <c r="E85" t="s">
        <v>15</v>
      </c>
      <c r="F85" t="s">
        <v>21</v>
      </c>
      <c r="G85" t="s">
        <v>44</v>
      </c>
      <c r="H85" t="s">
        <v>45</v>
      </c>
      <c r="I85">
        <v>416</v>
      </c>
      <c r="J85">
        <v>55</v>
      </c>
      <c r="K85">
        <v>22880</v>
      </c>
      <c r="L85">
        <v>1169.9100000000001</v>
      </c>
      <c r="M85">
        <v>5964.38</v>
      </c>
      <c r="N85" t="s">
        <v>19</v>
      </c>
    </row>
    <row r="86" spans="1:14" x14ac:dyDescent="0.3">
      <c r="A86">
        <v>9084</v>
      </c>
      <c r="B86" s="1">
        <v>45754</v>
      </c>
      <c r="C86">
        <v>2025</v>
      </c>
      <c r="D86" t="s">
        <v>49</v>
      </c>
      <c r="E86" t="s">
        <v>30</v>
      </c>
      <c r="F86" t="s">
        <v>43</v>
      </c>
      <c r="G86" t="s">
        <v>17</v>
      </c>
      <c r="H86" t="s">
        <v>55</v>
      </c>
      <c r="I86">
        <v>187</v>
      </c>
      <c r="J86">
        <v>120</v>
      </c>
      <c r="K86">
        <v>22440</v>
      </c>
      <c r="L86">
        <v>1421.09</v>
      </c>
      <c r="M86">
        <v>5170.66</v>
      </c>
      <c r="N86" t="s">
        <v>19</v>
      </c>
    </row>
    <row r="87" spans="1:14" x14ac:dyDescent="0.3">
      <c r="A87">
        <v>9085</v>
      </c>
      <c r="B87" s="1">
        <v>45805</v>
      </c>
      <c r="C87">
        <v>2025</v>
      </c>
      <c r="D87" t="s">
        <v>14</v>
      </c>
      <c r="E87" t="s">
        <v>15</v>
      </c>
      <c r="F87" t="s">
        <v>21</v>
      </c>
      <c r="G87" t="s">
        <v>22</v>
      </c>
      <c r="H87" t="s">
        <v>39</v>
      </c>
      <c r="I87">
        <v>181</v>
      </c>
      <c r="J87">
        <v>25</v>
      </c>
      <c r="K87">
        <v>4525</v>
      </c>
      <c r="L87">
        <v>269.20999999999998</v>
      </c>
      <c r="M87">
        <v>1285.3</v>
      </c>
      <c r="N87" t="s">
        <v>19</v>
      </c>
    </row>
    <row r="88" spans="1:14" x14ac:dyDescent="0.3">
      <c r="A88">
        <v>9086</v>
      </c>
      <c r="B88" s="1">
        <v>45955</v>
      </c>
      <c r="C88">
        <v>2025</v>
      </c>
      <c r="D88" t="s">
        <v>33</v>
      </c>
      <c r="E88" t="s">
        <v>26</v>
      </c>
      <c r="F88" t="s">
        <v>34</v>
      </c>
      <c r="G88" t="s">
        <v>44</v>
      </c>
      <c r="H88" t="s">
        <v>50</v>
      </c>
      <c r="I88">
        <v>468</v>
      </c>
      <c r="J88">
        <v>150</v>
      </c>
      <c r="K88">
        <v>70200</v>
      </c>
      <c r="L88">
        <v>5970.9</v>
      </c>
      <c r="M88">
        <v>21304.32</v>
      </c>
      <c r="N88" t="s">
        <v>19</v>
      </c>
    </row>
    <row r="89" spans="1:14" x14ac:dyDescent="0.3">
      <c r="A89">
        <v>9087</v>
      </c>
      <c r="B89" s="1">
        <v>45660</v>
      </c>
      <c r="C89">
        <v>2025</v>
      </c>
      <c r="D89" t="s">
        <v>29</v>
      </c>
      <c r="E89" t="s">
        <v>26</v>
      </c>
      <c r="F89" t="s">
        <v>34</v>
      </c>
      <c r="G89" t="s">
        <v>22</v>
      </c>
      <c r="H89" t="s">
        <v>39</v>
      </c>
      <c r="I89">
        <v>281</v>
      </c>
      <c r="J89">
        <v>25</v>
      </c>
      <c r="K89">
        <v>7025</v>
      </c>
      <c r="L89">
        <v>437.26</v>
      </c>
      <c r="M89">
        <v>2095.17</v>
      </c>
      <c r="N89" t="s">
        <v>24</v>
      </c>
    </row>
    <row r="90" spans="1:14" x14ac:dyDescent="0.3">
      <c r="A90">
        <v>9088</v>
      </c>
      <c r="B90" s="1">
        <v>45836</v>
      </c>
      <c r="C90">
        <v>2025</v>
      </c>
      <c r="D90" t="s">
        <v>46</v>
      </c>
      <c r="E90" t="s">
        <v>30</v>
      </c>
      <c r="F90" t="s">
        <v>43</v>
      </c>
      <c r="G90" t="s">
        <v>22</v>
      </c>
      <c r="H90" t="s">
        <v>47</v>
      </c>
      <c r="I90">
        <v>139</v>
      </c>
      <c r="J90">
        <v>45</v>
      </c>
      <c r="K90">
        <v>6255</v>
      </c>
      <c r="L90">
        <v>410.88</v>
      </c>
      <c r="M90">
        <v>1808.74</v>
      </c>
      <c r="N90" t="s">
        <v>24</v>
      </c>
    </row>
    <row r="91" spans="1:14" x14ac:dyDescent="0.3">
      <c r="A91">
        <v>9089</v>
      </c>
      <c r="B91" s="1">
        <v>45920</v>
      </c>
      <c r="C91">
        <v>2025</v>
      </c>
      <c r="D91" t="s">
        <v>37</v>
      </c>
      <c r="E91" t="s">
        <v>15</v>
      </c>
      <c r="F91" t="s">
        <v>16</v>
      </c>
      <c r="G91" t="s">
        <v>44</v>
      </c>
      <c r="H91" t="s">
        <v>50</v>
      </c>
      <c r="I91">
        <v>337</v>
      </c>
      <c r="J91">
        <v>150</v>
      </c>
      <c r="K91">
        <v>50550</v>
      </c>
      <c r="L91">
        <v>3845.49</v>
      </c>
      <c r="M91">
        <v>10425.25</v>
      </c>
      <c r="N91" t="s">
        <v>24</v>
      </c>
    </row>
    <row r="92" spans="1:14" x14ac:dyDescent="0.3">
      <c r="A92">
        <v>9090</v>
      </c>
      <c r="B92" s="1">
        <v>45698</v>
      </c>
      <c r="C92">
        <v>2025</v>
      </c>
      <c r="D92" t="s">
        <v>42</v>
      </c>
      <c r="E92" t="s">
        <v>26</v>
      </c>
      <c r="F92" t="s">
        <v>48</v>
      </c>
      <c r="G92" t="s">
        <v>17</v>
      </c>
      <c r="H92" t="s">
        <v>18</v>
      </c>
      <c r="I92">
        <v>129</v>
      </c>
      <c r="J92">
        <v>350</v>
      </c>
      <c r="K92">
        <v>45150</v>
      </c>
      <c r="L92">
        <v>3649.38</v>
      </c>
      <c r="M92">
        <v>10639.23</v>
      </c>
      <c r="N92" t="s">
        <v>24</v>
      </c>
    </row>
    <row r="93" spans="1:14" x14ac:dyDescent="0.3">
      <c r="A93">
        <v>9091</v>
      </c>
      <c r="B93" s="1">
        <v>45674</v>
      </c>
      <c r="C93">
        <v>2025</v>
      </c>
      <c r="D93" t="s">
        <v>29</v>
      </c>
      <c r="E93" t="s">
        <v>30</v>
      </c>
      <c r="F93" t="s">
        <v>38</v>
      </c>
      <c r="G93" t="s">
        <v>44</v>
      </c>
      <c r="H93" t="s">
        <v>45</v>
      </c>
      <c r="I93">
        <v>53</v>
      </c>
      <c r="J93">
        <v>55</v>
      </c>
      <c r="K93">
        <v>2915</v>
      </c>
      <c r="L93">
        <v>283.3</v>
      </c>
      <c r="M93">
        <v>647.24</v>
      </c>
      <c r="N93" t="s">
        <v>19</v>
      </c>
    </row>
    <row r="94" spans="1:14" x14ac:dyDescent="0.3">
      <c r="A94">
        <v>9092</v>
      </c>
      <c r="B94" s="1">
        <v>45950</v>
      </c>
      <c r="C94">
        <v>2025</v>
      </c>
      <c r="D94" t="s">
        <v>33</v>
      </c>
      <c r="E94" t="s">
        <v>26</v>
      </c>
      <c r="F94" t="s">
        <v>27</v>
      </c>
      <c r="G94" t="s">
        <v>44</v>
      </c>
      <c r="H94" t="s">
        <v>45</v>
      </c>
      <c r="I94">
        <v>261</v>
      </c>
      <c r="J94">
        <v>55</v>
      </c>
      <c r="K94">
        <v>14355</v>
      </c>
      <c r="L94">
        <v>842.24</v>
      </c>
      <c r="M94">
        <v>2836.67</v>
      </c>
      <c r="N94" t="s">
        <v>24</v>
      </c>
    </row>
    <row r="95" spans="1:14" x14ac:dyDescent="0.3">
      <c r="A95">
        <v>9093</v>
      </c>
      <c r="B95" s="1">
        <v>45863</v>
      </c>
      <c r="C95">
        <v>2025</v>
      </c>
      <c r="D95" t="s">
        <v>54</v>
      </c>
      <c r="E95" t="s">
        <v>26</v>
      </c>
      <c r="F95" t="s">
        <v>27</v>
      </c>
      <c r="G95" t="s">
        <v>35</v>
      </c>
      <c r="H95" t="s">
        <v>36</v>
      </c>
      <c r="I95">
        <v>7</v>
      </c>
      <c r="J95">
        <v>35</v>
      </c>
      <c r="K95">
        <v>245</v>
      </c>
      <c r="L95">
        <v>13.33</v>
      </c>
      <c r="M95">
        <v>72.489999999999995</v>
      </c>
      <c r="N95" t="s">
        <v>19</v>
      </c>
    </row>
    <row r="96" spans="1:14" x14ac:dyDescent="0.3">
      <c r="A96">
        <v>9094</v>
      </c>
      <c r="B96" s="1">
        <v>46011</v>
      </c>
      <c r="C96">
        <v>2025</v>
      </c>
      <c r="D96" t="s">
        <v>51</v>
      </c>
      <c r="E96" t="s">
        <v>30</v>
      </c>
      <c r="F96" t="s">
        <v>43</v>
      </c>
      <c r="G96" t="s">
        <v>44</v>
      </c>
      <c r="H96" t="s">
        <v>50</v>
      </c>
      <c r="I96">
        <v>299</v>
      </c>
      <c r="J96">
        <v>150</v>
      </c>
      <c r="K96">
        <v>44850</v>
      </c>
      <c r="L96">
        <v>2883.6</v>
      </c>
      <c r="M96">
        <v>12234.94</v>
      </c>
      <c r="N96" t="s">
        <v>19</v>
      </c>
    </row>
    <row r="97" spans="1:14" x14ac:dyDescent="0.3">
      <c r="A97">
        <v>9095</v>
      </c>
      <c r="B97" s="1">
        <v>45874</v>
      </c>
      <c r="C97">
        <v>2025</v>
      </c>
      <c r="D97" t="s">
        <v>20</v>
      </c>
      <c r="E97" t="s">
        <v>15</v>
      </c>
      <c r="F97" t="s">
        <v>21</v>
      </c>
      <c r="G97" t="s">
        <v>17</v>
      </c>
      <c r="H97" t="s">
        <v>18</v>
      </c>
      <c r="I97">
        <v>222</v>
      </c>
      <c r="J97">
        <v>350</v>
      </c>
      <c r="K97">
        <v>77700</v>
      </c>
      <c r="L97">
        <v>4170.7299999999996</v>
      </c>
      <c r="M97">
        <v>18756.39</v>
      </c>
      <c r="N97" t="s">
        <v>24</v>
      </c>
    </row>
    <row r="98" spans="1:14" x14ac:dyDescent="0.3">
      <c r="A98">
        <v>9096</v>
      </c>
      <c r="B98" s="1">
        <v>45855</v>
      </c>
      <c r="C98">
        <v>2025</v>
      </c>
      <c r="D98" t="s">
        <v>54</v>
      </c>
      <c r="E98" t="s">
        <v>26</v>
      </c>
      <c r="F98" t="s">
        <v>53</v>
      </c>
      <c r="G98" t="s">
        <v>22</v>
      </c>
      <c r="H98" t="s">
        <v>39</v>
      </c>
      <c r="I98">
        <v>144</v>
      </c>
      <c r="J98">
        <v>25</v>
      </c>
      <c r="K98">
        <v>3600</v>
      </c>
      <c r="L98">
        <v>321.91000000000003</v>
      </c>
      <c r="M98">
        <v>676.08</v>
      </c>
      <c r="N98" t="s">
        <v>24</v>
      </c>
    </row>
    <row r="99" spans="1:14" x14ac:dyDescent="0.3">
      <c r="A99">
        <v>9097</v>
      </c>
      <c r="B99" s="1">
        <v>45709</v>
      </c>
      <c r="C99">
        <v>2025</v>
      </c>
      <c r="D99" t="s">
        <v>42</v>
      </c>
      <c r="E99" t="s">
        <v>26</v>
      </c>
      <c r="F99" t="s">
        <v>48</v>
      </c>
      <c r="G99" t="s">
        <v>35</v>
      </c>
      <c r="H99" t="s">
        <v>41</v>
      </c>
      <c r="I99">
        <v>98</v>
      </c>
      <c r="J99">
        <v>140</v>
      </c>
      <c r="K99">
        <v>13720</v>
      </c>
      <c r="L99">
        <v>1014</v>
      </c>
      <c r="M99">
        <v>3939.21</v>
      </c>
      <c r="N99" t="s">
        <v>19</v>
      </c>
    </row>
    <row r="100" spans="1:14" x14ac:dyDescent="0.3">
      <c r="A100">
        <v>9098</v>
      </c>
      <c r="B100" s="1">
        <v>45906</v>
      </c>
      <c r="C100">
        <v>2025</v>
      </c>
      <c r="D100" t="s">
        <v>37</v>
      </c>
      <c r="E100" t="s">
        <v>15</v>
      </c>
      <c r="F100" t="s">
        <v>21</v>
      </c>
      <c r="G100" t="s">
        <v>22</v>
      </c>
      <c r="H100" t="s">
        <v>32</v>
      </c>
      <c r="I100">
        <v>242</v>
      </c>
      <c r="J100">
        <v>60</v>
      </c>
      <c r="K100">
        <v>14520</v>
      </c>
      <c r="L100">
        <v>1345.24</v>
      </c>
      <c r="M100">
        <v>2905.66</v>
      </c>
      <c r="N100" t="s">
        <v>24</v>
      </c>
    </row>
    <row r="101" spans="1:14" x14ac:dyDescent="0.3">
      <c r="A101">
        <v>9099</v>
      </c>
      <c r="B101" s="1">
        <v>45870</v>
      </c>
      <c r="C101">
        <v>2025</v>
      </c>
      <c r="D101" t="s">
        <v>20</v>
      </c>
      <c r="E101" t="s">
        <v>26</v>
      </c>
      <c r="F101" t="s">
        <v>48</v>
      </c>
      <c r="G101" t="s">
        <v>22</v>
      </c>
      <c r="H101" t="s">
        <v>47</v>
      </c>
      <c r="I101">
        <v>63</v>
      </c>
      <c r="J101">
        <v>45</v>
      </c>
      <c r="K101">
        <v>2835</v>
      </c>
      <c r="L101">
        <v>248.41</v>
      </c>
      <c r="M101">
        <v>510.84</v>
      </c>
      <c r="N101" t="s">
        <v>19</v>
      </c>
    </row>
    <row r="102" spans="1:14" x14ac:dyDescent="0.3">
      <c r="A102">
        <v>9100</v>
      </c>
      <c r="B102" s="1">
        <v>45853</v>
      </c>
      <c r="C102">
        <v>2025</v>
      </c>
      <c r="D102" t="s">
        <v>54</v>
      </c>
      <c r="E102" t="s">
        <v>30</v>
      </c>
      <c r="F102" t="s">
        <v>43</v>
      </c>
      <c r="G102" t="s">
        <v>35</v>
      </c>
      <c r="H102" t="s">
        <v>36</v>
      </c>
      <c r="I102">
        <v>441</v>
      </c>
      <c r="J102">
        <v>35</v>
      </c>
      <c r="K102">
        <v>15435</v>
      </c>
      <c r="L102">
        <v>1398.68</v>
      </c>
      <c r="M102">
        <v>2840.33</v>
      </c>
      <c r="N102" t="s">
        <v>24</v>
      </c>
    </row>
    <row r="103" spans="1:14" x14ac:dyDescent="0.3">
      <c r="A103">
        <v>9101</v>
      </c>
      <c r="B103" s="1">
        <v>45868</v>
      </c>
      <c r="C103">
        <v>2025</v>
      </c>
      <c r="D103" t="s">
        <v>54</v>
      </c>
      <c r="E103" t="s">
        <v>26</v>
      </c>
      <c r="F103" t="s">
        <v>34</v>
      </c>
      <c r="G103" t="s">
        <v>35</v>
      </c>
      <c r="H103" t="s">
        <v>36</v>
      </c>
      <c r="I103">
        <v>440</v>
      </c>
      <c r="J103">
        <v>35</v>
      </c>
      <c r="K103">
        <v>15400</v>
      </c>
      <c r="L103">
        <v>1175.8</v>
      </c>
      <c r="M103">
        <v>4883.21</v>
      </c>
      <c r="N103" t="s">
        <v>24</v>
      </c>
    </row>
    <row r="104" spans="1:14" x14ac:dyDescent="0.3">
      <c r="A104">
        <v>9102</v>
      </c>
      <c r="B104" s="1">
        <v>45777</v>
      </c>
      <c r="C104">
        <v>2025</v>
      </c>
      <c r="D104" t="s">
        <v>49</v>
      </c>
      <c r="E104" t="s">
        <v>26</v>
      </c>
      <c r="F104" t="s">
        <v>53</v>
      </c>
      <c r="G104" t="s">
        <v>44</v>
      </c>
      <c r="H104" t="s">
        <v>45</v>
      </c>
      <c r="I104">
        <v>435</v>
      </c>
      <c r="J104">
        <v>55</v>
      </c>
      <c r="K104">
        <v>23925</v>
      </c>
      <c r="L104">
        <v>2389.46</v>
      </c>
      <c r="M104">
        <v>3596.44</v>
      </c>
      <c r="N104" t="s">
        <v>19</v>
      </c>
    </row>
    <row r="105" spans="1:14" x14ac:dyDescent="0.3">
      <c r="A105">
        <v>9103</v>
      </c>
      <c r="B105" s="1">
        <v>45932</v>
      </c>
      <c r="C105">
        <v>2025</v>
      </c>
      <c r="D105" t="s">
        <v>33</v>
      </c>
      <c r="E105" t="s">
        <v>15</v>
      </c>
      <c r="F105" t="s">
        <v>21</v>
      </c>
      <c r="G105" t="s">
        <v>17</v>
      </c>
      <c r="H105" t="s">
        <v>55</v>
      </c>
      <c r="I105">
        <v>460</v>
      </c>
      <c r="J105">
        <v>120</v>
      </c>
      <c r="K105">
        <v>55200</v>
      </c>
      <c r="L105">
        <v>4750.62</v>
      </c>
      <c r="M105">
        <v>15281.88</v>
      </c>
      <c r="N105" t="s">
        <v>19</v>
      </c>
    </row>
    <row r="106" spans="1:14" x14ac:dyDescent="0.3">
      <c r="A106">
        <v>9104</v>
      </c>
      <c r="B106" s="1">
        <v>45875</v>
      </c>
      <c r="C106">
        <v>2025</v>
      </c>
      <c r="D106" t="s">
        <v>20</v>
      </c>
      <c r="E106" t="s">
        <v>30</v>
      </c>
      <c r="F106" t="s">
        <v>31</v>
      </c>
      <c r="G106" t="s">
        <v>22</v>
      </c>
      <c r="H106" t="s">
        <v>23</v>
      </c>
      <c r="I106">
        <v>379</v>
      </c>
      <c r="J106">
        <v>420</v>
      </c>
      <c r="K106">
        <v>159180</v>
      </c>
      <c r="L106">
        <v>10552.94</v>
      </c>
      <c r="M106">
        <v>44050.400000000001</v>
      </c>
      <c r="N106" t="s">
        <v>24</v>
      </c>
    </row>
    <row r="107" spans="1:14" x14ac:dyDescent="0.3">
      <c r="A107">
        <v>9105</v>
      </c>
      <c r="B107" s="1">
        <v>45787</v>
      </c>
      <c r="C107">
        <v>2025</v>
      </c>
      <c r="D107" t="s">
        <v>14</v>
      </c>
      <c r="E107" t="s">
        <v>26</v>
      </c>
      <c r="F107" t="s">
        <v>34</v>
      </c>
      <c r="G107" t="s">
        <v>35</v>
      </c>
      <c r="H107" t="s">
        <v>41</v>
      </c>
      <c r="I107">
        <v>32</v>
      </c>
      <c r="J107">
        <v>140</v>
      </c>
      <c r="K107">
        <v>4480</v>
      </c>
      <c r="L107">
        <v>302.76</v>
      </c>
      <c r="M107">
        <v>865.67</v>
      </c>
      <c r="N107" t="s">
        <v>19</v>
      </c>
    </row>
    <row r="108" spans="1:14" x14ac:dyDescent="0.3">
      <c r="A108">
        <v>9106</v>
      </c>
      <c r="B108" s="1">
        <v>45687</v>
      </c>
      <c r="C108">
        <v>2025</v>
      </c>
      <c r="D108" t="s">
        <v>29</v>
      </c>
      <c r="E108" t="s">
        <v>15</v>
      </c>
      <c r="F108" t="s">
        <v>16</v>
      </c>
      <c r="G108" t="s">
        <v>22</v>
      </c>
      <c r="H108" t="s">
        <v>32</v>
      </c>
      <c r="I108">
        <v>362</v>
      </c>
      <c r="J108">
        <v>60</v>
      </c>
      <c r="K108">
        <v>21720</v>
      </c>
      <c r="L108">
        <v>2118.5700000000002</v>
      </c>
      <c r="M108">
        <v>4927.91</v>
      </c>
      <c r="N108" t="s">
        <v>19</v>
      </c>
    </row>
    <row r="109" spans="1:14" x14ac:dyDescent="0.3">
      <c r="A109">
        <v>9107</v>
      </c>
      <c r="B109" s="1">
        <v>45938</v>
      </c>
      <c r="C109">
        <v>2025</v>
      </c>
      <c r="D109" t="s">
        <v>33</v>
      </c>
      <c r="E109" t="s">
        <v>30</v>
      </c>
      <c r="F109" t="s">
        <v>38</v>
      </c>
      <c r="G109" t="s">
        <v>35</v>
      </c>
      <c r="H109" t="s">
        <v>41</v>
      </c>
      <c r="I109">
        <v>56</v>
      </c>
      <c r="J109">
        <v>140</v>
      </c>
      <c r="K109">
        <v>7840</v>
      </c>
      <c r="L109">
        <v>463.14</v>
      </c>
      <c r="M109">
        <v>2463.73</v>
      </c>
      <c r="N109" t="s">
        <v>24</v>
      </c>
    </row>
    <row r="110" spans="1:14" x14ac:dyDescent="0.3">
      <c r="A110">
        <v>9108</v>
      </c>
      <c r="B110" s="1">
        <v>45659</v>
      </c>
      <c r="C110">
        <v>2025</v>
      </c>
      <c r="D110" t="s">
        <v>29</v>
      </c>
      <c r="E110" t="s">
        <v>26</v>
      </c>
      <c r="F110" t="s">
        <v>27</v>
      </c>
      <c r="G110" t="s">
        <v>44</v>
      </c>
      <c r="H110" t="s">
        <v>45</v>
      </c>
      <c r="I110">
        <v>426</v>
      </c>
      <c r="J110">
        <v>55</v>
      </c>
      <c r="K110">
        <v>23430</v>
      </c>
      <c r="L110">
        <v>1279.68</v>
      </c>
      <c r="M110">
        <v>7707.8</v>
      </c>
      <c r="N110" t="s">
        <v>19</v>
      </c>
    </row>
    <row r="111" spans="1:14" x14ac:dyDescent="0.3">
      <c r="A111">
        <v>9109</v>
      </c>
      <c r="B111" s="1">
        <v>45970</v>
      </c>
      <c r="C111">
        <v>2025</v>
      </c>
      <c r="D111" t="s">
        <v>25</v>
      </c>
      <c r="E111" t="s">
        <v>26</v>
      </c>
      <c r="F111" t="s">
        <v>27</v>
      </c>
      <c r="G111" t="s">
        <v>22</v>
      </c>
      <c r="H111" t="s">
        <v>32</v>
      </c>
      <c r="I111">
        <v>295</v>
      </c>
      <c r="J111">
        <v>60</v>
      </c>
      <c r="K111">
        <v>17700</v>
      </c>
      <c r="L111">
        <v>1661.75</v>
      </c>
      <c r="M111">
        <v>4136.8100000000004</v>
      </c>
      <c r="N111" t="s">
        <v>24</v>
      </c>
    </row>
    <row r="112" spans="1:14" x14ac:dyDescent="0.3">
      <c r="A112">
        <v>9110</v>
      </c>
      <c r="B112" s="1">
        <v>45911</v>
      </c>
      <c r="C112">
        <v>2025</v>
      </c>
      <c r="D112" t="s">
        <v>37</v>
      </c>
      <c r="E112" t="s">
        <v>26</v>
      </c>
      <c r="F112" t="s">
        <v>27</v>
      </c>
      <c r="G112" t="s">
        <v>17</v>
      </c>
      <c r="H112" t="s">
        <v>52</v>
      </c>
      <c r="I112">
        <v>136</v>
      </c>
      <c r="J112">
        <v>300</v>
      </c>
      <c r="K112">
        <v>40800</v>
      </c>
      <c r="L112">
        <v>2867.36</v>
      </c>
      <c r="M112">
        <v>8488.4599999999991</v>
      </c>
      <c r="N112" t="s">
        <v>19</v>
      </c>
    </row>
    <row r="113" spans="1:14" x14ac:dyDescent="0.3">
      <c r="A113">
        <v>9111</v>
      </c>
      <c r="B113" s="1">
        <v>45701</v>
      </c>
      <c r="C113">
        <v>2025</v>
      </c>
      <c r="D113" t="s">
        <v>42</v>
      </c>
      <c r="E113" t="s">
        <v>15</v>
      </c>
      <c r="F113" t="s">
        <v>21</v>
      </c>
      <c r="G113" t="s">
        <v>22</v>
      </c>
      <c r="H113" t="s">
        <v>47</v>
      </c>
      <c r="I113">
        <v>466</v>
      </c>
      <c r="J113">
        <v>45</v>
      </c>
      <c r="K113">
        <v>20970</v>
      </c>
      <c r="L113">
        <v>1991.43</v>
      </c>
      <c r="M113">
        <v>5973.51</v>
      </c>
      <c r="N113" t="s">
        <v>24</v>
      </c>
    </row>
    <row r="114" spans="1:14" x14ac:dyDescent="0.3">
      <c r="A114">
        <v>9112</v>
      </c>
      <c r="B114" s="1">
        <v>46016</v>
      </c>
      <c r="C114">
        <v>2025</v>
      </c>
      <c r="D114" t="s">
        <v>51</v>
      </c>
      <c r="E114" t="s">
        <v>26</v>
      </c>
      <c r="F114" t="s">
        <v>27</v>
      </c>
      <c r="G114" t="s">
        <v>44</v>
      </c>
      <c r="H114" t="s">
        <v>50</v>
      </c>
      <c r="I114">
        <v>465</v>
      </c>
      <c r="J114">
        <v>150</v>
      </c>
      <c r="K114">
        <v>69750</v>
      </c>
      <c r="L114">
        <v>5301.15</v>
      </c>
      <c r="M114">
        <v>21479.06</v>
      </c>
      <c r="N114" t="s">
        <v>19</v>
      </c>
    </row>
    <row r="115" spans="1:14" x14ac:dyDescent="0.3">
      <c r="A115">
        <v>9113</v>
      </c>
      <c r="B115" s="1">
        <v>45724</v>
      </c>
      <c r="C115">
        <v>2025</v>
      </c>
      <c r="D115" t="s">
        <v>40</v>
      </c>
      <c r="E115" t="s">
        <v>26</v>
      </c>
      <c r="F115" t="s">
        <v>27</v>
      </c>
      <c r="G115" t="s">
        <v>35</v>
      </c>
      <c r="H115" t="s">
        <v>41</v>
      </c>
      <c r="I115">
        <v>205</v>
      </c>
      <c r="J115">
        <v>140</v>
      </c>
      <c r="K115">
        <v>28700</v>
      </c>
      <c r="L115">
        <v>2457.17</v>
      </c>
      <c r="M115">
        <v>6600.78</v>
      </c>
      <c r="N115" t="s">
        <v>19</v>
      </c>
    </row>
    <row r="116" spans="1:14" x14ac:dyDescent="0.3">
      <c r="A116">
        <v>9114</v>
      </c>
      <c r="B116" s="1">
        <v>45750</v>
      </c>
      <c r="C116">
        <v>2025</v>
      </c>
      <c r="D116" t="s">
        <v>49</v>
      </c>
      <c r="E116" t="s">
        <v>26</v>
      </c>
      <c r="F116" t="s">
        <v>48</v>
      </c>
      <c r="G116" t="s">
        <v>22</v>
      </c>
      <c r="H116" t="s">
        <v>23</v>
      </c>
      <c r="I116">
        <v>196</v>
      </c>
      <c r="J116">
        <v>420</v>
      </c>
      <c r="K116">
        <v>82320</v>
      </c>
      <c r="L116">
        <v>6614.84</v>
      </c>
      <c r="M116">
        <v>26268.12</v>
      </c>
      <c r="N116" t="s">
        <v>19</v>
      </c>
    </row>
    <row r="117" spans="1:14" x14ac:dyDescent="0.3">
      <c r="A117">
        <v>9115</v>
      </c>
      <c r="B117" s="1">
        <v>45898</v>
      </c>
      <c r="C117">
        <v>2025</v>
      </c>
      <c r="D117" t="s">
        <v>20</v>
      </c>
      <c r="E117" t="s">
        <v>15</v>
      </c>
      <c r="F117" t="s">
        <v>16</v>
      </c>
      <c r="G117" t="s">
        <v>35</v>
      </c>
      <c r="H117" t="s">
        <v>36</v>
      </c>
      <c r="I117">
        <v>96</v>
      </c>
      <c r="J117">
        <v>35</v>
      </c>
      <c r="K117">
        <v>3360</v>
      </c>
      <c r="L117">
        <v>198.02</v>
      </c>
      <c r="M117">
        <v>906.34</v>
      </c>
      <c r="N117" t="s">
        <v>19</v>
      </c>
    </row>
    <row r="118" spans="1:14" x14ac:dyDescent="0.3">
      <c r="A118">
        <v>9116</v>
      </c>
      <c r="B118" s="1">
        <v>45829</v>
      </c>
      <c r="C118">
        <v>2025</v>
      </c>
      <c r="D118" t="s">
        <v>46</v>
      </c>
      <c r="E118" t="s">
        <v>15</v>
      </c>
      <c r="F118" t="s">
        <v>16</v>
      </c>
      <c r="G118" t="s">
        <v>35</v>
      </c>
      <c r="H118" t="s">
        <v>36</v>
      </c>
      <c r="I118">
        <v>155</v>
      </c>
      <c r="J118">
        <v>35</v>
      </c>
      <c r="K118">
        <v>5425</v>
      </c>
      <c r="L118">
        <v>332.77</v>
      </c>
      <c r="M118">
        <v>1719.46</v>
      </c>
      <c r="N118" t="s">
        <v>19</v>
      </c>
    </row>
    <row r="119" spans="1:14" x14ac:dyDescent="0.3">
      <c r="A119">
        <v>9117</v>
      </c>
      <c r="B119" s="1">
        <v>45809</v>
      </c>
      <c r="C119">
        <v>2025</v>
      </c>
      <c r="D119" t="s">
        <v>46</v>
      </c>
      <c r="E119" t="s">
        <v>26</v>
      </c>
      <c r="F119" t="s">
        <v>48</v>
      </c>
      <c r="G119" t="s">
        <v>35</v>
      </c>
      <c r="H119" t="s">
        <v>36</v>
      </c>
      <c r="I119">
        <v>215</v>
      </c>
      <c r="J119">
        <v>35</v>
      </c>
      <c r="K119">
        <v>7525</v>
      </c>
      <c r="L119">
        <v>495.85</v>
      </c>
      <c r="M119">
        <v>1468.35</v>
      </c>
      <c r="N119" t="s">
        <v>19</v>
      </c>
    </row>
    <row r="120" spans="1:14" x14ac:dyDescent="0.3">
      <c r="A120">
        <v>9118</v>
      </c>
      <c r="B120" s="1">
        <v>45909</v>
      </c>
      <c r="C120">
        <v>2025</v>
      </c>
      <c r="D120" t="s">
        <v>37</v>
      </c>
      <c r="E120" t="s">
        <v>26</v>
      </c>
      <c r="F120" t="s">
        <v>34</v>
      </c>
      <c r="G120" t="s">
        <v>17</v>
      </c>
      <c r="H120" t="s">
        <v>18</v>
      </c>
      <c r="I120">
        <v>110</v>
      </c>
      <c r="J120">
        <v>350</v>
      </c>
      <c r="K120">
        <v>38500</v>
      </c>
      <c r="L120">
        <v>3368.59</v>
      </c>
      <c r="M120">
        <v>7106.71</v>
      </c>
      <c r="N120" t="s">
        <v>19</v>
      </c>
    </row>
    <row r="121" spans="1:14" x14ac:dyDescent="0.3">
      <c r="A121">
        <v>9119</v>
      </c>
      <c r="B121" s="1">
        <v>45887</v>
      </c>
      <c r="C121">
        <v>2025</v>
      </c>
      <c r="D121" t="s">
        <v>20</v>
      </c>
      <c r="E121" t="s">
        <v>26</v>
      </c>
      <c r="F121" t="s">
        <v>48</v>
      </c>
      <c r="G121" t="s">
        <v>44</v>
      </c>
      <c r="H121" t="s">
        <v>45</v>
      </c>
      <c r="I121">
        <v>71</v>
      </c>
      <c r="J121">
        <v>55</v>
      </c>
      <c r="K121">
        <v>3905</v>
      </c>
      <c r="L121">
        <v>366.77</v>
      </c>
      <c r="M121">
        <v>808.95</v>
      </c>
      <c r="N121" t="s">
        <v>19</v>
      </c>
    </row>
    <row r="122" spans="1:14" x14ac:dyDescent="0.3">
      <c r="A122">
        <v>9120</v>
      </c>
      <c r="B122" s="1">
        <v>45821</v>
      </c>
      <c r="C122">
        <v>2025</v>
      </c>
      <c r="D122" t="s">
        <v>46</v>
      </c>
      <c r="E122" t="s">
        <v>26</v>
      </c>
      <c r="F122" t="s">
        <v>27</v>
      </c>
      <c r="G122" t="s">
        <v>44</v>
      </c>
      <c r="H122" t="s">
        <v>50</v>
      </c>
      <c r="I122">
        <v>279</v>
      </c>
      <c r="J122">
        <v>150</v>
      </c>
      <c r="K122">
        <v>41850</v>
      </c>
      <c r="L122">
        <v>2304.5500000000002</v>
      </c>
      <c r="M122">
        <v>10729.44</v>
      </c>
      <c r="N122" t="s">
        <v>24</v>
      </c>
    </row>
    <row r="123" spans="1:14" x14ac:dyDescent="0.3">
      <c r="A123">
        <v>9121</v>
      </c>
      <c r="B123" s="1">
        <v>45842</v>
      </c>
      <c r="C123">
        <v>2025</v>
      </c>
      <c r="D123" t="s">
        <v>54</v>
      </c>
      <c r="E123" t="s">
        <v>30</v>
      </c>
      <c r="F123" t="s">
        <v>43</v>
      </c>
      <c r="G123" t="s">
        <v>17</v>
      </c>
      <c r="H123" t="s">
        <v>52</v>
      </c>
      <c r="I123">
        <v>105</v>
      </c>
      <c r="J123">
        <v>300</v>
      </c>
      <c r="K123">
        <v>31500</v>
      </c>
      <c r="L123">
        <v>1692.82</v>
      </c>
      <c r="M123">
        <v>6419.27</v>
      </c>
      <c r="N123" t="s">
        <v>24</v>
      </c>
    </row>
    <row r="124" spans="1:14" x14ac:dyDescent="0.3">
      <c r="A124">
        <v>9122</v>
      </c>
      <c r="B124" s="1">
        <v>45985</v>
      </c>
      <c r="C124">
        <v>2025</v>
      </c>
      <c r="D124" t="s">
        <v>25</v>
      </c>
      <c r="E124" t="s">
        <v>15</v>
      </c>
      <c r="F124" t="s">
        <v>16</v>
      </c>
      <c r="G124" t="s">
        <v>22</v>
      </c>
      <c r="H124" t="s">
        <v>39</v>
      </c>
      <c r="I124">
        <v>451</v>
      </c>
      <c r="J124">
        <v>25</v>
      </c>
      <c r="K124">
        <v>11275</v>
      </c>
      <c r="L124">
        <v>1057.55</v>
      </c>
      <c r="M124">
        <v>2999.93</v>
      </c>
      <c r="N124" t="s">
        <v>19</v>
      </c>
    </row>
    <row r="125" spans="1:14" x14ac:dyDescent="0.3">
      <c r="A125">
        <v>9123</v>
      </c>
      <c r="B125" s="1">
        <v>45861</v>
      </c>
      <c r="C125">
        <v>2025</v>
      </c>
      <c r="D125" t="s">
        <v>54</v>
      </c>
      <c r="E125" t="s">
        <v>26</v>
      </c>
      <c r="F125" t="s">
        <v>27</v>
      </c>
      <c r="G125" t="s">
        <v>44</v>
      </c>
      <c r="H125" t="s">
        <v>56</v>
      </c>
      <c r="I125">
        <v>98</v>
      </c>
      <c r="J125">
        <v>80</v>
      </c>
      <c r="K125">
        <v>7840</v>
      </c>
      <c r="L125">
        <v>728.01</v>
      </c>
      <c r="M125">
        <v>1972.14</v>
      </c>
      <c r="N125" t="s">
        <v>19</v>
      </c>
    </row>
    <row r="126" spans="1:14" x14ac:dyDescent="0.3">
      <c r="A126">
        <v>9124</v>
      </c>
      <c r="B126" s="1">
        <v>45850</v>
      </c>
      <c r="C126">
        <v>2025</v>
      </c>
      <c r="D126" t="s">
        <v>54</v>
      </c>
      <c r="E126" t="s">
        <v>26</v>
      </c>
      <c r="F126" t="s">
        <v>34</v>
      </c>
      <c r="G126" t="s">
        <v>17</v>
      </c>
      <c r="H126" t="s">
        <v>18</v>
      </c>
      <c r="I126">
        <v>340</v>
      </c>
      <c r="J126">
        <v>350</v>
      </c>
      <c r="K126">
        <v>119000</v>
      </c>
      <c r="L126">
        <v>8727.39</v>
      </c>
      <c r="M126">
        <v>22532.61</v>
      </c>
      <c r="N126" t="s">
        <v>19</v>
      </c>
    </row>
    <row r="127" spans="1:14" x14ac:dyDescent="0.3">
      <c r="A127">
        <v>9125</v>
      </c>
      <c r="B127" s="1">
        <v>45770</v>
      </c>
      <c r="C127">
        <v>2025</v>
      </c>
      <c r="D127" t="s">
        <v>49</v>
      </c>
      <c r="E127" t="s">
        <v>30</v>
      </c>
      <c r="F127" t="s">
        <v>38</v>
      </c>
      <c r="G127" t="s">
        <v>44</v>
      </c>
      <c r="H127" t="s">
        <v>45</v>
      </c>
      <c r="I127">
        <v>269</v>
      </c>
      <c r="J127">
        <v>55</v>
      </c>
      <c r="K127">
        <v>14795</v>
      </c>
      <c r="L127">
        <v>1056.33</v>
      </c>
      <c r="M127">
        <v>3522.47</v>
      </c>
      <c r="N127" t="s">
        <v>24</v>
      </c>
    </row>
    <row r="128" spans="1:14" x14ac:dyDescent="0.3">
      <c r="A128">
        <v>9126</v>
      </c>
      <c r="B128" s="1">
        <v>45988</v>
      </c>
      <c r="C128">
        <v>2025</v>
      </c>
      <c r="D128" t="s">
        <v>25</v>
      </c>
      <c r="E128" t="s">
        <v>30</v>
      </c>
      <c r="F128" t="s">
        <v>38</v>
      </c>
      <c r="G128" t="s">
        <v>44</v>
      </c>
      <c r="H128" t="s">
        <v>45</v>
      </c>
      <c r="I128">
        <v>488</v>
      </c>
      <c r="J128">
        <v>55</v>
      </c>
      <c r="K128">
        <v>26840</v>
      </c>
      <c r="L128">
        <v>1816.83</v>
      </c>
      <c r="M128">
        <v>6450.37</v>
      </c>
      <c r="N128" t="s">
        <v>24</v>
      </c>
    </row>
    <row r="129" spans="1:14" x14ac:dyDescent="0.3">
      <c r="A129">
        <v>9127</v>
      </c>
      <c r="B129" s="1">
        <v>45743</v>
      </c>
      <c r="C129">
        <v>2025</v>
      </c>
      <c r="D129" t="s">
        <v>40</v>
      </c>
      <c r="E129" t="s">
        <v>15</v>
      </c>
      <c r="F129" t="s">
        <v>21</v>
      </c>
      <c r="G129" t="s">
        <v>17</v>
      </c>
      <c r="H129" t="s">
        <v>55</v>
      </c>
      <c r="I129">
        <v>219</v>
      </c>
      <c r="J129">
        <v>120</v>
      </c>
      <c r="K129">
        <v>26280</v>
      </c>
      <c r="L129">
        <v>1741.26</v>
      </c>
      <c r="M129">
        <v>8710.5300000000007</v>
      </c>
      <c r="N129" t="s">
        <v>24</v>
      </c>
    </row>
    <row r="130" spans="1:14" x14ac:dyDescent="0.3">
      <c r="A130">
        <v>9128</v>
      </c>
      <c r="B130" s="1">
        <v>45945</v>
      </c>
      <c r="C130">
        <v>2025</v>
      </c>
      <c r="D130" t="s">
        <v>33</v>
      </c>
      <c r="E130" t="s">
        <v>30</v>
      </c>
      <c r="F130" t="s">
        <v>38</v>
      </c>
      <c r="G130" t="s">
        <v>22</v>
      </c>
      <c r="H130" t="s">
        <v>47</v>
      </c>
      <c r="I130">
        <v>320</v>
      </c>
      <c r="J130">
        <v>45</v>
      </c>
      <c r="K130">
        <v>14400</v>
      </c>
      <c r="L130">
        <v>1139.08</v>
      </c>
      <c r="M130">
        <v>2707.6</v>
      </c>
      <c r="N130" t="s">
        <v>19</v>
      </c>
    </row>
    <row r="131" spans="1:14" x14ac:dyDescent="0.3">
      <c r="A131">
        <v>9129</v>
      </c>
      <c r="B131" s="1">
        <v>45747</v>
      </c>
      <c r="C131">
        <v>2025</v>
      </c>
      <c r="D131" t="s">
        <v>40</v>
      </c>
      <c r="E131" t="s">
        <v>15</v>
      </c>
      <c r="F131" t="s">
        <v>16</v>
      </c>
      <c r="G131" t="s">
        <v>22</v>
      </c>
      <c r="H131" t="s">
        <v>32</v>
      </c>
      <c r="I131">
        <v>421</v>
      </c>
      <c r="J131">
        <v>60</v>
      </c>
      <c r="K131">
        <v>25260</v>
      </c>
      <c r="L131">
        <v>1834.57</v>
      </c>
      <c r="M131">
        <v>7421.45</v>
      </c>
      <c r="N131" t="s">
        <v>19</v>
      </c>
    </row>
    <row r="132" spans="1:14" x14ac:dyDescent="0.3">
      <c r="A132">
        <v>9130</v>
      </c>
      <c r="B132" s="1">
        <v>45919</v>
      </c>
      <c r="C132">
        <v>2025</v>
      </c>
      <c r="D132" t="s">
        <v>37</v>
      </c>
      <c r="E132" t="s">
        <v>15</v>
      </c>
      <c r="F132" t="s">
        <v>16</v>
      </c>
      <c r="G132" t="s">
        <v>17</v>
      </c>
      <c r="H132" t="s">
        <v>55</v>
      </c>
      <c r="I132">
        <v>223</v>
      </c>
      <c r="J132">
        <v>120</v>
      </c>
      <c r="K132">
        <v>26760</v>
      </c>
      <c r="L132">
        <v>2436.08</v>
      </c>
      <c r="M132">
        <v>5988.92</v>
      </c>
      <c r="N132" t="s">
        <v>19</v>
      </c>
    </row>
    <row r="133" spans="1:14" x14ac:dyDescent="0.3">
      <c r="A133">
        <v>9131</v>
      </c>
      <c r="B133" s="1">
        <v>45826</v>
      </c>
      <c r="C133">
        <v>2025</v>
      </c>
      <c r="D133" t="s">
        <v>46</v>
      </c>
      <c r="E133" t="s">
        <v>15</v>
      </c>
      <c r="F133" t="s">
        <v>16</v>
      </c>
      <c r="G133" t="s">
        <v>22</v>
      </c>
      <c r="H133" t="s">
        <v>39</v>
      </c>
      <c r="I133">
        <v>358</v>
      </c>
      <c r="J133">
        <v>25</v>
      </c>
      <c r="K133">
        <v>8950</v>
      </c>
      <c r="L133">
        <v>563.32000000000005</v>
      </c>
      <c r="M133">
        <v>1851.76</v>
      </c>
      <c r="N133" t="s">
        <v>24</v>
      </c>
    </row>
    <row r="134" spans="1:14" x14ac:dyDescent="0.3">
      <c r="A134">
        <v>9132</v>
      </c>
      <c r="B134" s="1">
        <v>45924</v>
      </c>
      <c r="C134">
        <v>2025</v>
      </c>
      <c r="D134" t="s">
        <v>37</v>
      </c>
      <c r="E134" t="s">
        <v>26</v>
      </c>
      <c r="F134" t="s">
        <v>34</v>
      </c>
      <c r="G134" t="s">
        <v>44</v>
      </c>
      <c r="H134" t="s">
        <v>56</v>
      </c>
      <c r="I134">
        <v>428</v>
      </c>
      <c r="J134">
        <v>80</v>
      </c>
      <c r="K134">
        <v>34240</v>
      </c>
      <c r="L134">
        <v>1983.35</v>
      </c>
      <c r="M134">
        <v>11536.64</v>
      </c>
      <c r="N134" t="s">
        <v>24</v>
      </c>
    </row>
    <row r="135" spans="1:14" x14ac:dyDescent="0.3">
      <c r="A135">
        <v>9133</v>
      </c>
      <c r="B135" s="1">
        <v>45923</v>
      </c>
      <c r="C135">
        <v>2025</v>
      </c>
      <c r="D135" t="s">
        <v>37</v>
      </c>
      <c r="E135" t="s">
        <v>30</v>
      </c>
      <c r="F135" t="s">
        <v>31</v>
      </c>
      <c r="G135" t="s">
        <v>17</v>
      </c>
      <c r="H135" t="s">
        <v>18</v>
      </c>
      <c r="I135">
        <v>235</v>
      </c>
      <c r="J135">
        <v>350</v>
      </c>
      <c r="K135">
        <v>82250</v>
      </c>
      <c r="L135">
        <v>7431.78</v>
      </c>
      <c r="M135">
        <v>18088.04</v>
      </c>
      <c r="N135" t="s">
        <v>24</v>
      </c>
    </row>
    <row r="136" spans="1:14" x14ac:dyDescent="0.3">
      <c r="A136">
        <v>9134</v>
      </c>
      <c r="B136" s="1">
        <v>45914</v>
      </c>
      <c r="C136">
        <v>2025</v>
      </c>
      <c r="D136" t="s">
        <v>37</v>
      </c>
      <c r="E136" t="s">
        <v>15</v>
      </c>
      <c r="F136" t="s">
        <v>16</v>
      </c>
      <c r="G136" t="s">
        <v>17</v>
      </c>
      <c r="H136" t="s">
        <v>18</v>
      </c>
      <c r="I136">
        <v>91</v>
      </c>
      <c r="J136">
        <v>350</v>
      </c>
      <c r="K136">
        <v>31850</v>
      </c>
      <c r="L136">
        <v>2742.61</v>
      </c>
      <c r="M136">
        <v>6194.82</v>
      </c>
      <c r="N136" t="s">
        <v>19</v>
      </c>
    </row>
    <row r="137" spans="1:14" x14ac:dyDescent="0.3">
      <c r="A137">
        <v>9135</v>
      </c>
      <c r="B137" s="1">
        <v>45961</v>
      </c>
      <c r="C137">
        <v>2025</v>
      </c>
      <c r="D137" t="s">
        <v>33</v>
      </c>
      <c r="E137" t="s">
        <v>26</v>
      </c>
      <c r="F137" t="s">
        <v>53</v>
      </c>
      <c r="G137" t="s">
        <v>44</v>
      </c>
      <c r="H137" t="s">
        <v>50</v>
      </c>
      <c r="I137">
        <v>414</v>
      </c>
      <c r="J137">
        <v>150</v>
      </c>
      <c r="K137">
        <v>62100</v>
      </c>
      <c r="L137">
        <v>5504.31</v>
      </c>
      <c r="M137">
        <v>17010.54</v>
      </c>
      <c r="N137" t="s">
        <v>24</v>
      </c>
    </row>
    <row r="138" spans="1:14" x14ac:dyDescent="0.3">
      <c r="A138">
        <v>9136</v>
      </c>
      <c r="B138" s="1">
        <v>45924</v>
      </c>
      <c r="C138">
        <v>2025</v>
      </c>
      <c r="D138" t="s">
        <v>37</v>
      </c>
      <c r="E138" t="s">
        <v>15</v>
      </c>
      <c r="F138" t="s">
        <v>21</v>
      </c>
      <c r="G138" t="s">
        <v>17</v>
      </c>
      <c r="H138" t="s">
        <v>18</v>
      </c>
      <c r="I138">
        <v>293</v>
      </c>
      <c r="J138">
        <v>350</v>
      </c>
      <c r="K138">
        <v>102550</v>
      </c>
      <c r="L138">
        <v>9029.49</v>
      </c>
      <c r="M138">
        <v>24657.33</v>
      </c>
      <c r="N138" t="s">
        <v>19</v>
      </c>
    </row>
    <row r="139" spans="1:14" x14ac:dyDescent="0.3">
      <c r="A139">
        <v>9137</v>
      </c>
      <c r="B139" s="1">
        <v>46020</v>
      </c>
      <c r="C139">
        <v>2025</v>
      </c>
      <c r="D139" t="s">
        <v>51</v>
      </c>
      <c r="E139" t="s">
        <v>15</v>
      </c>
      <c r="F139" t="s">
        <v>16</v>
      </c>
      <c r="G139" t="s">
        <v>44</v>
      </c>
      <c r="H139" t="s">
        <v>45</v>
      </c>
      <c r="I139">
        <v>265</v>
      </c>
      <c r="J139">
        <v>55</v>
      </c>
      <c r="K139">
        <v>14575</v>
      </c>
      <c r="L139">
        <v>1136.6300000000001</v>
      </c>
      <c r="M139">
        <v>2717.39</v>
      </c>
      <c r="N139" t="s">
        <v>24</v>
      </c>
    </row>
    <row r="140" spans="1:14" x14ac:dyDescent="0.3">
      <c r="A140">
        <v>9138</v>
      </c>
      <c r="B140" s="1">
        <v>45974</v>
      </c>
      <c r="C140">
        <v>2025</v>
      </c>
      <c r="D140" t="s">
        <v>25</v>
      </c>
      <c r="E140" t="s">
        <v>15</v>
      </c>
      <c r="F140" t="s">
        <v>16</v>
      </c>
      <c r="G140" t="s">
        <v>22</v>
      </c>
      <c r="H140" t="s">
        <v>39</v>
      </c>
      <c r="I140">
        <v>435</v>
      </c>
      <c r="J140">
        <v>25</v>
      </c>
      <c r="K140">
        <v>10875</v>
      </c>
      <c r="L140">
        <v>782.58</v>
      </c>
      <c r="M140">
        <v>2765.08</v>
      </c>
      <c r="N140" t="s">
        <v>24</v>
      </c>
    </row>
    <row r="141" spans="1:14" x14ac:dyDescent="0.3">
      <c r="A141">
        <v>9139</v>
      </c>
      <c r="B141" s="1">
        <v>45712</v>
      </c>
      <c r="C141">
        <v>2025</v>
      </c>
      <c r="D141" t="s">
        <v>42</v>
      </c>
      <c r="E141" t="s">
        <v>26</v>
      </c>
      <c r="F141" t="s">
        <v>53</v>
      </c>
      <c r="G141" t="s">
        <v>22</v>
      </c>
      <c r="H141" t="s">
        <v>28</v>
      </c>
      <c r="I141">
        <v>71</v>
      </c>
      <c r="J141">
        <v>50</v>
      </c>
      <c r="K141">
        <v>3550</v>
      </c>
      <c r="L141">
        <v>228.3</v>
      </c>
      <c r="M141">
        <v>857.71</v>
      </c>
      <c r="N141" t="s">
        <v>24</v>
      </c>
    </row>
    <row r="142" spans="1:14" x14ac:dyDescent="0.3">
      <c r="A142">
        <v>9140</v>
      </c>
      <c r="B142" s="1">
        <v>45908</v>
      </c>
      <c r="C142">
        <v>2025</v>
      </c>
      <c r="D142" t="s">
        <v>37</v>
      </c>
      <c r="E142" t="s">
        <v>30</v>
      </c>
      <c r="F142" t="s">
        <v>43</v>
      </c>
      <c r="G142" t="s">
        <v>44</v>
      </c>
      <c r="H142" t="s">
        <v>45</v>
      </c>
      <c r="I142">
        <v>435</v>
      </c>
      <c r="J142">
        <v>55</v>
      </c>
      <c r="K142">
        <v>23925</v>
      </c>
      <c r="L142">
        <v>1693.9</v>
      </c>
      <c r="M142">
        <v>6642.15</v>
      </c>
      <c r="N142" t="s">
        <v>24</v>
      </c>
    </row>
    <row r="143" spans="1:14" x14ac:dyDescent="0.3">
      <c r="A143">
        <v>9141</v>
      </c>
      <c r="B143" s="1">
        <v>45883</v>
      </c>
      <c r="C143">
        <v>2025</v>
      </c>
      <c r="D143" t="s">
        <v>20</v>
      </c>
      <c r="E143" t="s">
        <v>15</v>
      </c>
      <c r="F143" t="s">
        <v>21</v>
      </c>
      <c r="G143" t="s">
        <v>17</v>
      </c>
      <c r="H143" t="s">
        <v>18</v>
      </c>
      <c r="I143">
        <v>309</v>
      </c>
      <c r="J143">
        <v>350</v>
      </c>
      <c r="K143">
        <v>108150</v>
      </c>
      <c r="L143">
        <v>8087.15</v>
      </c>
      <c r="M143">
        <v>33800.980000000003</v>
      </c>
      <c r="N143" t="s">
        <v>24</v>
      </c>
    </row>
    <row r="144" spans="1:14" x14ac:dyDescent="0.3">
      <c r="A144">
        <v>9142</v>
      </c>
      <c r="B144" s="1">
        <v>45955</v>
      </c>
      <c r="C144">
        <v>2025</v>
      </c>
      <c r="D144" t="s">
        <v>33</v>
      </c>
      <c r="E144" t="s">
        <v>15</v>
      </c>
      <c r="F144" t="s">
        <v>21</v>
      </c>
      <c r="G144" t="s">
        <v>22</v>
      </c>
      <c r="H144" t="s">
        <v>39</v>
      </c>
      <c r="I144">
        <v>114</v>
      </c>
      <c r="J144">
        <v>25</v>
      </c>
      <c r="K144">
        <v>2850</v>
      </c>
      <c r="L144">
        <v>179.79</v>
      </c>
      <c r="M144">
        <v>803.45</v>
      </c>
      <c r="N144" t="s">
        <v>24</v>
      </c>
    </row>
    <row r="145" spans="1:14" x14ac:dyDescent="0.3">
      <c r="A145">
        <v>9143</v>
      </c>
      <c r="B145" s="1">
        <v>45872</v>
      </c>
      <c r="C145">
        <v>2025</v>
      </c>
      <c r="D145" t="s">
        <v>20</v>
      </c>
      <c r="E145" t="s">
        <v>26</v>
      </c>
      <c r="F145" t="s">
        <v>34</v>
      </c>
      <c r="G145" t="s">
        <v>17</v>
      </c>
      <c r="H145" t="s">
        <v>55</v>
      </c>
      <c r="I145">
        <v>442</v>
      </c>
      <c r="J145">
        <v>120</v>
      </c>
      <c r="K145">
        <v>53040</v>
      </c>
      <c r="L145">
        <v>3437.85</v>
      </c>
      <c r="M145">
        <v>15264.48</v>
      </c>
      <c r="N145" t="s">
        <v>24</v>
      </c>
    </row>
    <row r="146" spans="1:14" x14ac:dyDescent="0.3">
      <c r="A146">
        <v>9144</v>
      </c>
      <c r="B146" s="1">
        <v>45850</v>
      </c>
      <c r="C146">
        <v>2025</v>
      </c>
      <c r="D146" t="s">
        <v>54</v>
      </c>
      <c r="E146" t="s">
        <v>15</v>
      </c>
      <c r="F146" t="s">
        <v>21</v>
      </c>
      <c r="G146" t="s">
        <v>35</v>
      </c>
      <c r="H146" t="s">
        <v>41</v>
      </c>
      <c r="I146">
        <v>327</v>
      </c>
      <c r="J146">
        <v>140</v>
      </c>
      <c r="K146">
        <v>45780</v>
      </c>
      <c r="L146">
        <v>4051.65</v>
      </c>
      <c r="M146">
        <v>11140.96</v>
      </c>
      <c r="N146" t="s">
        <v>19</v>
      </c>
    </row>
    <row r="147" spans="1:14" x14ac:dyDescent="0.3">
      <c r="A147">
        <v>9145</v>
      </c>
      <c r="B147" s="1">
        <v>45779</v>
      </c>
      <c r="C147">
        <v>2025</v>
      </c>
      <c r="D147" t="s">
        <v>14</v>
      </c>
      <c r="E147" t="s">
        <v>30</v>
      </c>
      <c r="F147" t="s">
        <v>31</v>
      </c>
      <c r="G147" t="s">
        <v>22</v>
      </c>
      <c r="H147" t="s">
        <v>23</v>
      </c>
      <c r="I147">
        <v>81</v>
      </c>
      <c r="J147">
        <v>420</v>
      </c>
      <c r="K147">
        <v>34020</v>
      </c>
      <c r="L147">
        <v>2529.4299999999998</v>
      </c>
      <c r="M147">
        <v>7255.38</v>
      </c>
      <c r="N147" t="s">
        <v>19</v>
      </c>
    </row>
    <row r="148" spans="1:14" x14ac:dyDescent="0.3">
      <c r="A148">
        <v>9146</v>
      </c>
      <c r="B148" s="1">
        <v>45859</v>
      </c>
      <c r="C148">
        <v>2025</v>
      </c>
      <c r="D148" t="s">
        <v>54</v>
      </c>
      <c r="E148" t="s">
        <v>26</v>
      </c>
      <c r="F148" t="s">
        <v>53</v>
      </c>
      <c r="G148" t="s">
        <v>44</v>
      </c>
      <c r="H148" t="s">
        <v>56</v>
      </c>
      <c r="I148">
        <v>455</v>
      </c>
      <c r="J148">
        <v>80</v>
      </c>
      <c r="K148">
        <v>36400</v>
      </c>
      <c r="L148">
        <v>2009.81</v>
      </c>
      <c r="M148">
        <v>8845.23</v>
      </c>
      <c r="N148" t="s">
        <v>24</v>
      </c>
    </row>
    <row r="149" spans="1:14" x14ac:dyDescent="0.3">
      <c r="A149">
        <v>9147</v>
      </c>
      <c r="B149" s="1">
        <v>45808</v>
      </c>
      <c r="C149">
        <v>2025</v>
      </c>
      <c r="D149" t="s">
        <v>14</v>
      </c>
      <c r="E149" t="s">
        <v>26</v>
      </c>
      <c r="F149" t="s">
        <v>53</v>
      </c>
      <c r="G149" t="s">
        <v>22</v>
      </c>
      <c r="H149" t="s">
        <v>47</v>
      </c>
      <c r="I149">
        <v>470</v>
      </c>
      <c r="J149">
        <v>45</v>
      </c>
      <c r="K149">
        <v>21150</v>
      </c>
      <c r="L149">
        <v>1620.36</v>
      </c>
      <c r="M149">
        <v>3840.81</v>
      </c>
      <c r="N149" t="s">
        <v>24</v>
      </c>
    </row>
    <row r="150" spans="1:14" x14ac:dyDescent="0.3">
      <c r="A150">
        <v>9148</v>
      </c>
      <c r="B150" s="1">
        <v>45956</v>
      </c>
      <c r="C150">
        <v>2025</v>
      </c>
      <c r="D150" t="s">
        <v>33</v>
      </c>
      <c r="E150" t="s">
        <v>26</v>
      </c>
      <c r="F150" t="s">
        <v>34</v>
      </c>
      <c r="G150" t="s">
        <v>22</v>
      </c>
      <c r="H150" t="s">
        <v>23</v>
      </c>
      <c r="I150">
        <v>162</v>
      </c>
      <c r="J150">
        <v>420</v>
      </c>
      <c r="K150">
        <v>68040</v>
      </c>
      <c r="L150">
        <v>6440.46</v>
      </c>
      <c r="M150">
        <v>17227.669999999998</v>
      </c>
      <c r="N150" t="s">
        <v>24</v>
      </c>
    </row>
    <row r="151" spans="1:14" x14ac:dyDescent="0.3">
      <c r="A151">
        <v>9149</v>
      </c>
      <c r="B151" s="1">
        <v>45862</v>
      </c>
      <c r="C151">
        <v>2025</v>
      </c>
      <c r="D151" t="s">
        <v>54</v>
      </c>
      <c r="E151" t="s">
        <v>15</v>
      </c>
      <c r="F151" t="s">
        <v>21</v>
      </c>
      <c r="G151" t="s">
        <v>44</v>
      </c>
      <c r="H151" t="s">
        <v>50</v>
      </c>
      <c r="I151">
        <v>409</v>
      </c>
      <c r="J151">
        <v>150</v>
      </c>
      <c r="K151">
        <v>61350</v>
      </c>
      <c r="L151">
        <v>5595.9</v>
      </c>
      <c r="M151">
        <v>15244.12</v>
      </c>
      <c r="N151" t="s">
        <v>19</v>
      </c>
    </row>
    <row r="152" spans="1:14" x14ac:dyDescent="0.3">
      <c r="A152">
        <v>9150</v>
      </c>
      <c r="B152" s="1">
        <v>45718</v>
      </c>
      <c r="C152">
        <v>2025</v>
      </c>
      <c r="D152" t="s">
        <v>40</v>
      </c>
      <c r="E152" t="s">
        <v>26</v>
      </c>
      <c r="F152" t="s">
        <v>34</v>
      </c>
      <c r="G152" t="s">
        <v>44</v>
      </c>
      <c r="H152" t="s">
        <v>50</v>
      </c>
      <c r="I152">
        <v>10</v>
      </c>
      <c r="J152">
        <v>150</v>
      </c>
      <c r="K152">
        <v>1500</v>
      </c>
      <c r="L152">
        <v>119.62</v>
      </c>
      <c r="M152">
        <v>474.98</v>
      </c>
      <c r="N152" t="s">
        <v>19</v>
      </c>
    </row>
    <row r="153" spans="1:14" x14ac:dyDescent="0.3">
      <c r="A153">
        <v>9151</v>
      </c>
      <c r="B153" s="1">
        <v>45781</v>
      </c>
      <c r="C153">
        <v>2025</v>
      </c>
      <c r="D153" t="s">
        <v>14</v>
      </c>
      <c r="E153" t="s">
        <v>26</v>
      </c>
      <c r="F153" t="s">
        <v>53</v>
      </c>
      <c r="G153" t="s">
        <v>22</v>
      </c>
      <c r="H153" t="s">
        <v>28</v>
      </c>
      <c r="I153">
        <v>397</v>
      </c>
      <c r="J153">
        <v>50</v>
      </c>
      <c r="K153">
        <v>19850</v>
      </c>
      <c r="L153">
        <v>1097.54</v>
      </c>
      <c r="M153">
        <v>3895.61</v>
      </c>
      <c r="N153" t="s">
        <v>24</v>
      </c>
    </row>
    <row r="154" spans="1:14" x14ac:dyDescent="0.3">
      <c r="A154">
        <v>9152</v>
      </c>
      <c r="B154" s="1">
        <v>45850</v>
      </c>
      <c r="C154">
        <v>2025</v>
      </c>
      <c r="D154" t="s">
        <v>54</v>
      </c>
      <c r="E154" t="s">
        <v>30</v>
      </c>
      <c r="F154" t="s">
        <v>31</v>
      </c>
      <c r="G154" t="s">
        <v>44</v>
      </c>
      <c r="H154" t="s">
        <v>50</v>
      </c>
      <c r="I154">
        <v>202</v>
      </c>
      <c r="J154">
        <v>150</v>
      </c>
      <c r="K154">
        <v>30300</v>
      </c>
      <c r="L154">
        <v>2907.52</v>
      </c>
      <c r="M154">
        <v>9188.2800000000007</v>
      </c>
      <c r="N154" t="s">
        <v>24</v>
      </c>
    </row>
    <row r="155" spans="1:14" x14ac:dyDescent="0.3">
      <c r="A155">
        <v>9153</v>
      </c>
      <c r="B155" s="1">
        <v>45837</v>
      </c>
      <c r="C155">
        <v>2025</v>
      </c>
      <c r="D155" t="s">
        <v>46</v>
      </c>
      <c r="E155" t="s">
        <v>26</v>
      </c>
      <c r="F155" t="s">
        <v>27</v>
      </c>
      <c r="G155" t="s">
        <v>22</v>
      </c>
      <c r="H155" t="s">
        <v>23</v>
      </c>
      <c r="I155">
        <v>475</v>
      </c>
      <c r="J155">
        <v>420</v>
      </c>
      <c r="K155">
        <v>199500</v>
      </c>
      <c r="L155">
        <v>13182.39</v>
      </c>
      <c r="M155">
        <v>62699.44</v>
      </c>
      <c r="N155" t="s">
        <v>24</v>
      </c>
    </row>
    <row r="156" spans="1:14" x14ac:dyDescent="0.3">
      <c r="A156">
        <v>9154</v>
      </c>
      <c r="B156" s="1">
        <v>45959</v>
      </c>
      <c r="C156">
        <v>2025</v>
      </c>
      <c r="D156" t="s">
        <v>33</v>
      </c>
      <c r="E156" t="s">
        <v>30</v>
      </c>
      <c r="F156" t="s">
        <v>31</v>
      </c>
      <c r="G156" t="s">
        <v>22</v>
      </c>
      <c r="H156" t="s">
        <v>47</v>
      </c>
      <c r="I156">
        <v>212</v>
      </c>
      <c r="J156">
        <v>45</v>
      </c>
      <c r="K156">
        <v>9540</v>
      </c>
      <c r="L156">
        <v>518.5</v>
      </c>
      <c r="M156">
        <v>2336.89</v>
      </c>
      <c r="N156" t="s">
        <v>24</v>
      </c>
    </row>
    <row r="157" spans="1:14" x14ac:dyDescent="0.3">
      <c r="A157">
        <v>9155</v>
      </c>
      <c r="B157" s="1">
        <v>45670</v>
      </c>
      <c r="C157">
        <v>2025</v>
      </c>
      <c r="D157" t="s">
        <v>29</v>
      </c>
      <c r="E157" t="s">
        <v>15</v>
      </c>
      <c r="F157" t="s">
        <v>16</v>
      </c>
      <c r="G157" t="s">
        <v>17</v>
      </c>
      <c r="H157" t="s">
        <v>18</v>
      </c>
      <c r="I157">
        <v>18</v>
      </c>
      <c r="J157">
        <v>350</v>
      </c>
      <c r="K157">
        <v>6300</v>
      </c>
      <c r="L157">
        <v>511.39</v>
      </c>
      <c r="M157">
        <v>1623.65</v>
      </c>
      <c r="N157" t="s">
        <v>19</v>
      </c>
    </row>
    <row r="158" spans="1:14" x14ac:dyDescent="0.3">
      <c r="A158">
        <v>9156</v>
      </c>
      <c r="B158" s="1">
        <v>45671</v>
      </c>
      <c r="C158">
        <v>2025</v>
      </c>
      <c r="D158" t="s">
        <v>29</v>
      </c>
      <c r="E158" t="s">
        <v>30</v>
      </c>
      <c r="F158" t="s">
        <v>38</v>
      </c>
      <c r="G158" t="s">
        <v>44</v>
      </c>
      <c r="H158" t="s">
        <v>50</v>
      </c>
      <c r="I158">
        <v>103</v>
      </c>
      <c r="J158">
        <v>150</v>
      </c>
      <c r="K158">
        <v>15450</v>
      </c>
      <c r="L158">
        <v>1281.05</v>
      </c>
      <c r="M158">
        <v>4511.29</v>
      </c>
      <c r="N158" t="s">
        <v>24</v>
      </c>
    </row>
    <row r="159" spans="1:14" x14ac:dyDescent="0.3">
      <c r="A159">
        <v>9157</v>
      </c>
      <c r="B159" s="1">
        <v>45764</v>
      </c>
      <c r="C159">
        <v>2025</v>
      </c>
      <c r="D159" t="s">
        <v>49</v>
      </c>
      <c r="E159" t="s">
        <v>30</v>
      </c>
      <c r="F159" t="s">
        <v>38</v>
      </c>
      <c r="G159" t="s">
        <v>35</v>
      </c>
      <c r="H159" t="s">
        <v>41</v>
      </c>
      <c r="I159">
        <v>45</v>
      </c>
      <c r="J159">
        <v>140</v>
      </c>
      <c r="K159">
        <v>6300</v>
      </c>
      <c r="L159">
        <v>619.74</v>
      </c>
      <c r="M159">
        <v>1281.6600000000001</v>
      </c>
      <c r="N159" t="s">
        <v>24</v>
      </c>
    </row>
    <row r="160" spans="1:14" x14ac:dyDescent="0.3">
      <c r="A160">
        <v>9158</v>
      </c>
      <c r="B160" s="1">
        <v>45811</v>
      </c>
      <c r="C160">
        <v>2025</v>
      </c>
      <c r="D160" t="s">
        <v>46</v>
      </c>
      <c r="E160" t="s">
        <v>15</v>
      </c>
      <c r="F160" t="s">
        <v>21</v>
      </c>
      <c r="G160" t="s">
        <v>17</v>
      </c>
      <c r="H160" t="s">
        <v>55</v>
      </c>
      <c r="I160">
        <v>195</v>
      </c>
      <c r="J160">
        <v>120</v>
      </c>
      <c r="K160">
        <v>23400</v>
      </c>
      <c r="L160">
        <v>1543.85</v>
      </c>
      <c r="M160">
        <v>7619.25</v>
      </c>
      <c r="N160" t="s">
        <v>24</v>
      </c>
    </row>
    <row r="161" spans="1:14" x14ac:dyDescent="0.3">
      <c r="A161">
        <v>9159</v>
      </c>
      <c r="B161" s="1">
        <v>46001</v>
      </c>
      <c r="C161">
        <v>2025</v>
      </c>
      <c r="D161" t="s">
        <v>51</v>
      </c>
      <c r="E161" t="s">
        <v>26</v>
      </c>
      <c r="F161" t="s">
        <v>53</v>
      </c>
      <c r="G161" t="s">
        <v>17</v>
      </c>
      <c r="H161" t="s">
        <v>52</v>
      </c>
      <c r="I161">
        <v>479</v>
      </c>
      <c r="J161">
        <v>300</v>
      </c>
      <c r="K161">
        <v>143700</v>
      </c>
      <c r="L161">
        <v>9086.2999999999993</v>
      </c>
      <c r="M161">
        <v>32766.79</v>
      </c>
      <c r="N161" t="s">
        <v>19</v>
      </c>
    </row>
    <row r="162" spans="1:14" x14ac:dyDescent="0.3">
      <c r="A162">
        <v>9160</v>
      </c>
      <c r="B162" s="1">
        <v>45718</v>
      </c>
      <c r="C162">
        <v>2025</v>
      </c>
      <c r="D162" t="s">
        <v>40</v>
      </c>
      <c r="E162" t="s">
        <v>26</v>
      </c>
      <c r="F162" t="s">
        <v>48</v>
      </c>
      <c r="G162" t="s">
        <v>22</v>
      </c>
      <c r="H162" t="s">
        <v>47</v>
      </c>
      <c r="I162">
        <v>43</v>
      </c>
      <c r="J162">
        <v>45</v>
      </c>
      <c r="K162">
        <v>1935</v>
      </c>
      <c r="L162">
        <v>124.28</v>
      </c>
      <c r="M162">
        <v>420.91</v>
      </c>
      <c r="N162" t="s">
        <v>24</v>
      </c>
    </row>
    <row r="163" spans="1:14" x14ac:dyDescent="0.3">
      <c r="A163">
        <v>9161</v>
      </c>
      <c r="B163" s="1">
        <v>45826</v>
      </c>
      <c r="C163">
        <v>2025</v>
      </c>
      <c r="D163" t="s">
        <v>46</v>
      </c>
      <c r="E163" t="s">
        <v>15</v>
      </c>
      <c r="F163" t="s">
        <v>16</v>
      </c>
      <c r="G163" t="s">
        <v>44</v>
      </c>
      <c r="H163" t="s">
        <v>50</v>
      </c>
      <c r="I163">
        <v>52</v>
      </c>
      <c r="J163">
        <v>150</v>
      </c>
      <c r="K163">
        <v>7800</v>
      </c>
      <c r="L163">
        <v>737.63</v>
      </c>
      <c r="M163">
        <v>1305.47</v>
      </c>
      <c r="N163" t="s">
        <v>24</v>
      </c>
    </row>
    <row r="164" spans="1:14" x14ac:dyDescent="0.3">
      <c r="A164">
        <v>9162</v>
      </c>
      <c r="B164" s="1">
        <v>46000</v>
      </c>
      <c r="C164">
        <v>2025</v>
      </c>
      <c r="D164" t="s">
        <v>51</v>
      </c>
      <c r="E164" t="s">
        <v>26</v>
      </c>
      <c r="F164" t="s">
        <v>34</v>
      </c>
      <c r="G164" t="s">
        <v>22</v>
      </c>
      <c r="H164" t="s">
        <v>47</v>
      </c>
      <c r="I164">
        <v>9</v>
      </c>
      <c r="J164">
        <v>45</v>
      </c>
      <c r="K164">
        <v>405</v>
      </c>
      <c r="L164">
        <v>27.49</v>
      </c>
      <c r="M164">
        <v>114.09</v>
      </c>
      <c r="N164" t="s">
        <v>19</v>
      </c>
    </row>
    <row r="165" spans="1:14" x14ac:dyDescent="0.3">
      <c r="A165">
        <v>9163</v>
      </c>
      <c r="B165" s="1">
        <v>45753</v>
      </c>
      <c r="C165">
        <v>2025</v>
      </c>
      <c r="D165" t="s">
        <v>49</v>
      </c>
      <c r="E165" t="s">
        <v>26</v>
      </c>
      <c r="F165" t="s">
        <v>27</v>
      </c>
      <c r="G165" t="s">
        <v>44</v>
      </c>
      <c r="H165" t="s">
        <v>45</v>
      </c>
      <c r="I165">
        <v>399</v>
      </c>
      <c r="J165">
        <v>55</v>
      </c>
      <c r="K165">
        <v>21945</v>
      </c>
      <c r="L165">
        <v>1829.57</v>
      </c>
      <c r="M165">
        <v>4712.6099999999997</v>
      </c>
      <c r="N165" t="s">
        <v>19</v>
      </c>
    </row>
    <row r="166" spans="1:14" x14ac:dyDescent="0.3">
      <c r="A166">
        <v>9164</v>
      </c>
      <c r="B166" s="1">
        <v>45984</v>
      </c>
      <c r="C166">
        <v>2025</v>
      </c>
      <c r="D166" t="s">
        <v>25</v>
      </c>
      <c r="E166" t="s">
        <v>26</v>
      </c>
      <c r="F166" t="s">
        <v>27</v>
      </c>
      <c r="G166" t="s">
        <v>22</v>
      </c>
      <c r="H166" t="s">
        <v>32</v>
      </c>
      <c r="I166">
        <v>165</v>
      </c>
      <c r="J166">
        <v>60</v>
      </c>
      <c r="K166">
        <v>9900</v>
      </c>
      <c r="L166">
        <v>687.58</v>
      </c>
      <c r="M166">
        <v>2190.19</v>
      </c>
      <c r="N166" t="s">
        <v>19</v>
      </c>
    </row>
    <row r="167" spans="1:14" x14ac:dyDescent="0.3">
      <c r="A167">
        <v>9165</v>
      </c>
      <c r="B167" s="1">
        <v>45887</v>
      </c>
      <c r="C167">
        <v>2025</v>
      </c>
      <c r="D167" t="s">
        <v>20</v>
      </c>
      <c r="E167" t="s">
        <v>26</v>
      </c>
      <c r="F167" t="s">
        <v>48</v>
      </c>
      <c r="G167" t="s">
        <v>44</v>
      </c>
      <c r="H167" t="s">
        <v>45</v>
      </c>
      <c r="I167">
        <v>441</v>
      </c>
      <c r="J167">
        <v>55</v>
      </c>
      <c r="K167">
        <v>24255</v>
      </c>
      <c r="L167">
        <v>2113.27</v>
      </c>
      <c r="M167">
        <v>7463.21</v>
      </c>
      <c r="N167" t="s">
        <v>24</v>
      </c>
    </row>
    <row r="168" spans="1:14" x14ac:dyDescent="0.3">
      <c r="A168">
        <v>9166</v>
      </c>
      <c r="B168" s="1">
        <v>45898</v>
      </c>
      <c r="C168">
        <v>2025</v>
      </c>
      <c r="D168" t="s">
        <v>20</v>
      </c>
      <c r="E168" t="s">
        <v>30</v>
      </c>
      <c r="F168" t="s">
        <v>31</v>
      </c>
      <c r="G168" t="s">
        <v>22</v>
      </c>
      <c r="H168" t="s">
        <v>47</v>
      </c>
      <c r="I168">
        <v>295</v>
      </c>
      <c r="J168">
        <v>45</v>
      </c>
      <c r="K168">
        <v>13275</v>
      </c>
      <c r="L168">
        <v>956.36</v>
      </c>
      <c r="M168">
        <v>4102.7299999999996</v>
      </c>
      <c r="N168" t="s">
        <v>19</v>
      </c>
    </row>
    <row r="169" spans="1:14" x14ac:dyDescent="0.3">
      <c r="A169">
        <v>9167</v>
      </c>
      <c r="B169" s="1">
        <v>45703</v>
      </c>
      <c r="C169">
        <v>2025</v>
      </c>
      <c r="D169" t="s">
        <v>42</v>
      </c>
      <c r="E169" t="s">
        <v>30</v>
      </c>
      <c r="F169" t="s">
        <v>31</v>
      </c>
      <c r="G169" t="s">
        <v>22</v>
      </c>
      <c r="H169" t="s">
        <v>23</v>
      </c>
      <c r="I169">
        <v>261</v>
      </c>
      <c r="J169">
        <v>420</v>
      </c>
      <c r="K169">
        <v>109620</v>
      </c>
      <c r="L169">
        <v>9761.64</v>
      </c>
      <c r="M169">
        <v>27672.5</v>
      </c>
      <c r="N169" t="s">
        <v>24</v>
      </c>
    </row>
    <row r="170" spans="1:14" x14ac:dyDescent="0.3">
      <c r="A170">
        <v>9168</v>
      </c>
      <c r="B170" s="1">
        <v>45735</v>
      </c>
      <c r="C170">
        <v>2025</v>
      </c>
      <c r="D170" t="s">
        <v>40</v>
      </c>
      <c r="E170" t="s">
        <v>26</v>
      </c>
      <c r="F170" t="s">
        <v>34</v>
      </c>
      <c r="G170" t="s">
        <v>22</v>
      </c>
      <c r="H170" t="s">
        <v>32</v>
      </c>
      <c r="I170">
        <v>276</v>
      </c>
      <c r="J170">
        <v>60</v>
      </c>
      <c r="K170">
        <v>16560</v>
      </c>
      <c r="L170">
        <v>1176.68</v>
      </c>
      <c r="M170">
        <v>3470.05</v>
      </c>
      <c r="N170" t="s">
        <v>24</v>
      </c>
    </row>
    <row r="171" spans="1:14" x14ac:dyDescent="0.3">
      <c r="A171">
        <v>9169</v>
      </c>
      <c r="B171" s="1">
        <v>45820</v>
      </c>
      <c r="C171">
        <v>2025</v>
      </c>
      <c r="D171" t="s">
        <v>46</v>
      </c>
      <c r="E171" t="s">
        <v>26</v>
      </c>
      <c r="F171" t="s">
        <v>27</v>
      </c>
      <c r="G171" t="s">
        <v>17</v>
      </c>
      <c r="H171" t="s">
        <v>18</v>
      </c>
      <c r="I171">
        <v>388</v>
      </c>
      <c r="J171">
        <v>350</v>
      </c>
      <c r="K171">
        <v>135800</v>
      </c>
      <c r="L171">
        <v>10105.85</v>
      </c>
      <c r="M171">
        <v>27947.360000000001</v>
      </c>
      <c r="N171" t="s">
        <v>24</v>
      </c>
    </row>
    <row r="172" spans="1:14" x14ac:dyDescent="0.3">
      <c r="A172">
        <v>9170</v>
      </c>
      <c r="B172" s="1">
        <v>45675</v>
      </c>
      <c r="C172">
        <v>2025</v>
      </c>
      <c r="D172" t="s">
        <v>29</v>
      </c>
      <c r="E172" t="s">
        <v>30</v>
      </c>
      <c r="F172" t="s">
        <v>31</v>
      </c>
      <c r="G172" t="s">
        <v>44</v>
      </c>
      <c r="H172" t="s">
        <v>56</v>
      </c>
      <c r="I172">
        <v>448</v>
      </c>
      <c r="J172">
        <v>80</v>
      </c>
      <c r="K172">
        <v>35840</v>
      </c>
      <c r="L172">
        <v>3236.15</v>
      </c>
      <c r="M172">
        <v>6900.93</v>
      </c>
      <c r="N172" t="s">
        <v>24</v>
      </c>
    </row>
    <row r="173" spans="1:14" x14ac:dyDescent="0.3">
      <c r="A173">
        <v>9171</v>
      </c>
      <c r="B173" s="1">
        <v>45786</v>
      </c>
      <c r="C173">
        <v>2025</v>
      </c>
      <c r="D173" t="s">
        <v>14</v>
      </c>
      <c r="E173" t="s">
        <v>30</v>
      </c>
      <c r="F173" t="s">
        <v>43</v>
      </c>
      <c r="G173" t="s">
        <v>22</v>
      </c>
      <c r="H173" t="s">
        <v>39</v>
      </c>
      <c r="I173">
        <v>260</v>
      </c>
      <c r="J173">
        <v>25</v>
      </c>
      <c r="K173">
        <v>6500</v>
      </c>
      <c r="L173">
        <v>445.04</v>
      </c>
      <c r="M173">
        <v>2063.81</v>
      </c>
      <c r="N173" t="s">
        <v>19</v>
      </c>
    </row>
    <row r="174" spans="1:14" x14ac:dyDescent="0.3">
      <c r="A174">
        <v>9172</v>
      </c>
      <c r="B174" s="1">
        <v>46011</v>
      </c>
      <c r="C174">
        <v>2025</v>
      </c>
      <c r="D174" t="s">
        <v>51</v>
      </c>
      <c r="E174" t="s">
        <v>30</v>
      </c>
      <c r="F174" t="s">
        <v>31</v>
      </c>
      <c r="G174" t="s">
        <v>17</v>
      </c>
      <c r="H174" t="s">
        <v>18</v>
      </c>
      <c r="I174">
        <v>426</v>
      </c>
      <c r="J174">
        <v>350</v>
      </c>
      <c r="K174">
        <v>149100</v>
      </c>
      <c r="L174">
        <v>8651.59</v>
      </c>
      <c r="M174">
        <v>30081.52</v>
      </c>
      <c r="N174" t="s">
        <v>19</v>
      </c>
    </row>
    <row r="175" spans="1:14" x14ac:dyDescent="0.3">
      <c r="A175">
        <v>9173</v>
      </c>
      <c r="B175" s="1">
        <v>45941</v>
      </c>
      <c r="C175">
        <v>2025</v>
      </c>
      <c r="D175" t="s">
        <v>33</v>
      </c>
      <c r="E175" t="s">
        <v>26</v>
      </c>
      <c r="F175" t="s">
        <v>27</v>
      </c>
      <c r="G175" t="s">
        <v>22</v>
      </c>
      <c r="H175" t="s">
        <v>23</v>
      </c>
      <c r="I175">
        <v>111</v>
      </c>
      <c r="J175">
        <v>420</v>
      </c>
      <c r="K175">
        <v>46620</v>
      </c>
      <c r="L175">
        <v>3699.94</v>
      </c>
      <c r="M175">
        <v>8870.92</v>
      </c>
      <c r="N175" t="s">
        <v>19</v>
      </c>
    </row>
    <row r="176" spans="1:14" x14ac:dyDescent="0.3">
      <c r="A176">
        <v>9174</v>
      </c>
      <c r="B176" s="1">
        <v>45906</v>
      </c>
      <c r="C176">
        <v>2025</v>
      </c>
      <c r="D176" t="s">
        <v>37</v>
      </c>
      <c r="E176" t="s">
        <v>30</v>
      </c>
      <c r="F176" t="s">
        <v>43</v>
      </c>
      <c r="G176" t="s">
        <v>22</v>
      </c>
      <c r="H176" t="s">
        <v>28</v>
      </c>
      <c r="I176">
        <v>250</v>
      </c>
      <c r="J176">
        <v>50</v>
      </c>
      <c r="K176">
        <v>12500</v>
      </c>
      <c r="L176">
        <v>1022.8</v>
      </c>
      <c r="M176">
        <v>2529.5100000000002</v>
      </c>
      <c r="N176" t="s">
        <v>24</v>
      </c>
    </row>
    <row r="177" spans="1:14" x14ac:dyDescent="0.3">
      <c r="A177">
        <v>9175</v>
      </c>
      <c r="B177" s="1">
        <v>45904</v>
      </c>
      <c r="C177">
        <v>2025</v>
      </c>
      <c r="D177" t="s">
        <v>37</v>
      </c>
      <c r="E177" t="s">
        <v>26</v>
      </c>
      <c r="F177" t="s">
        <v>27</v>
      </c>
      <c r="G177" t="s">
        <v>22</v>
      </c>
      <c r="H177" t="s">
        <v>28</v>
      </c>
      <c r="I177">
        <v>185</v>
      </c>
      <c r="J177">
        <v>50</v>
      </c>
      <c r="K177">
        <v>9250</v>
      </c>
      <c r="L177">
        <v>639.94000000000005</v>
      </c>
      <c r="M177">
        <v>1904.1</v>
      </c>
      <c r="N177" t="s">
        <v>19</v>
      </c>
    </row>
    <row r="178" spans="1:14" x14ac:dyDescent="0.3">
      <c r="A178">
        <v>9176</v>
      </c>
      <c r="B178" s="1">
        <v>45933</v>
      </c>
      <c r="C178">
        <v>2025</v>
      </c>
      <c r="D178" t="s">
        <v>33</v>
      </c>
      <c r="E178" t="s">
        <v>15</v>
      </c>
      <c r="F178" t="s">
        <v>21</v>
      </c>
      <c r="G178" t="s">
        <v>17</v>
      </c>
      <c r="H178" t="s">
        <v>55</v>
      </c>
      <c r="I178">
        <v>173</v>
      </c>
      <c r="J178">
        <v>120</v>
      </c>
      <c r="K178">
        <v>20760</v>
      </c>
      <c r="L178">
        <v>1333.23</v>
      </c>
      <c r="M178">
        <v>4736.3900000000003</v>
      </c>
      <c r="N178" t="s">
        <v>19</v>
      </c>
    </row>
    <row r="179" spans="1:14" x14ac:dyDescent="0.3">
      <c r="A179">
        <v>9177</v>
      </c>
      <c r="B179" s="1">
        <v>45862</v>
      </c>
      <c r="C179">
        <v>2025</v>
      </c>
      <c r="D179" t="s">
        <v>54</v>
      </c>
      <c r="E179" t="s">
        <v>15</v>
      </c>
      <c r="F179" t="s">
        <v>21</v>
      </c>
      <c r="G179" t="s">
        <v>22</v>
      </c>
      <c r="H179" t="s">
        <v>23</v>
      </c>
      <c r="I179">
        <v>313</v>
      </c>
      <c r="J179">
        <v>420</v>
      </c>
      <c r="K179">
        <v>131460</v>
      </c>
      <c r="L179">
        <v>10668.99</v>
      </c>
      <c r="M179">
        <v>27303.75</v>
      </c>
      <c r="N179" t="s">
        <v>19</v>
      </c>
    </row>
    <row r="180" spans="1:14" x14ac:dyDescent="0.3">
      <c r="A180">
        <v>9178</v>
      </c>
      <c r="B180" s="1">
        <v>45708</v>
      </c>
      <c r="C180">
        <v>2025</v>
      </c>
      <c r="D180" t="s">
        <v>42</v>
      </c>
      <c r="E180" t="s">
        <v>26</v>
      </c>
      <c r="F180" t="s">
        <v>48</v>
      </c>
      <c r="G180" t="s">
        <v>17</v>
      </c>
      <c r="H180" t="s">
        <v>52</v>
      </c>
      <c r="I180">
        <v>154</v>
      </c>
      <c r="J180">
        <v>300</v>
      </c>
      <c r="K180">
        <v>46200</v>
      </c>
      <c r="L180">
        <v>3096.38</v>
      </c>
      <c r="M180">
        <v>12117.57</v>
      </c>
      <c r="N180" t="s">
        <v>24</v>
      </c>
    </row>
    <row r="181" spans="1:14" x14ac:dyDescent="0.3">
      <c r="A181">
        <v>9179</v>
      </c>
      <c r="B181" s="1">
        <v>45716</v>
      </c>
      <c r="C181">
        <v>2025</v>
      </c>
      <c r="D181" t="s">
        <v>42</v>
      </c>
      <c r="E181" t="s">
        <v>30</v>
      </c>
      <c r="F181" t="s">
        <v>31</v>
      </c>
      <c r="G181" t="s">
        <v>17</v>
      </c>
      <c r="H181" t="s">
        <v>52</v>
      </c>
      <c r="I181">
        <v>9</v>
      </c>
      <c r="J181">
        <v>300</v>
      </c>
      <c r="K181">
        <v>2700</v>
      </c>
      <c r="L181">
        <v>201.83</v>
      </c>
      <c r="M181">
        <v>772.97</v>
      </c>
      <c r="N181" t="s">
        <v>19</v>
      </c>
    </row>
    <row r="182" spans="1:14" x14ac:dyDescent="0.3">
      <c r="A182">
        <v>9180</v>
      </c>
      <c r="B182" s="1">
        <v>45947</v>
      </c>
      <c r="C182">
        <v>2025</v>
      </c>
      <c r="D182" t="s">
        <v>33</v>
      </c>
      <c r="E182" t="s">
        <v>30</v>
      </c>
      <c r="F182" t="s">
        <v>38</v>
      </c>
      <c r="G182" t="s">
        <v>22</v>
      </c>
      <c r="H182" t="s">
        <v>39</v>
      </c>
      <c r="I182">
        <v>87</v>
      </c>
      <c r="J182">
        <v>25</v>
      </c>
      <c r="K182">
        <v>2175</v>
      </c>
      <c r="L182">
        <v>181.86</v>
      </c>
      <c r="M182">
        <v>368.82</v>
      </c>
      <c r="N182" t="s">
        <v>24</v>
      </c>
    </row>
    <row r="183" spans="1:14" x14ac:dyDescent="0.3">
      <c r="A183">
        <v>9181</v>
      </c>
      <c r="B183" s="1">
        <v>45769</v>
      </c>
      <c r="C183">
        <v>2025</v>
      </c>
      <c r="D183" t="s">
        <v>49</v>
      </c>
      <c r="E183" t="s">
        <v>30</v>
      </c>
      <c r="F183" t="s">
        <v>31</v>
      </c>
      <c r="G183" t="s">
        <v>44</v>
      </c>
      <c r="H183" t="s">
        <v>56</v>
      </c>
      <c r="I183">
        <v>65</v>
      </c>
      <c r="J183">
        <v>80</v>
      </c>
      <c r="K183">
        <v>5200</v>
      </c>
      <c r="L183">
        <v>398.17</v>
      </c>
      <c r="M183">
        <v>913.46</v>
      </c>
      <c r="N183" t="s">
        <v>19</v>
      </c>
    </row>
    <row r="184" spans="1:14" x14ac:dyDescent="0.3">
      <c r="A184">
        <v>9182</v>
      </c>
      <c r="B184" s="1">
        <v>45666</v>
      </c>
      <c r="C184">
        <v>2025</v>
      </c>
      <c r="D184" t="s">
        <v>29</v>
      </c>
      <c r="E184" t="s">
        <v>26</v>
      </c>
      <c r="F184" t="s">
        <v>34</v>
      </c>
      <c r="G184" t="s">
        <v>44</v>
      </c>
      <c r="H184" t="s">
        <v>50</v>
      </c>
      <c r="I184">
        <v>462</v>
      </c>
      <c r="J184">
        <v>150</v>
      </c>
      <c r="K184">
        <v>69300</v>
      </c>
      <c r="L184">
        <v>5864.54</v>
      </c>
      <c r="M184">
        <v>21448.11</v>
      </c>
      <c r="N184" t="s">
        <v>24</v>
      </c>
    </row>
    <row r="185" spans="1:14" x14ac:dyDescent="0.3">
      <c r="A185">
        <v>9183</v>
      </c>
      <c r="B185" s="1">
        <v>45669</v>
      </c>
      <c r="C185">
        <v>2025</v>
      </c>
      <c r="D185" t="s">
        <v>29</v>
      </c>
      <c r="E185" t="s">
        <v>15</v>
      </c>
      <c r="F185" t="s">
        <v>21</v>
      </c>
      <c r="G185" t="s">
        <v>22</v>
      </c>
      <c r="H185" t="s">
        <v>23</v>
      </c>
      <c r="I185">
        <v>137</v>
      </c>
      <c r="J185">
        <v>420</v>
      </c>
      <c r="K185">
        <v>57540</v>
      </c>
      <c r="L185">
        <v>3996.08</v>
      </c>
      <c r="M185">
        <v>18729.87</v>
      </c>
      <c r="N185" t="s">
        <v>19</v>
      </c>
    </row>
    <row r="186" spans="1:14" x14ac:dyDescent="0.3">
      <c r="A186">
        <v>9184</v>
      </c>
      <c r="B186" s="1">
        <v>45735</v>
      </c>
      <c r="C186">
        <v>2025</v>
      </c>
      <c r="D186" t="s">
        <v>40</v>
      </c>
      <c r="E186" t="s">
        <v>26</v>
      </c>
      <c r="F186" t="s">
        <v>53</v>
      </c>
      <c r="G186" t="s">
        <v>17</v>
      </c>
      <c r="H186" t="s">
        <v>18</v>
      </c>
      <c r="I186">
        <v>383</v>
      </c>
      <c r="J186">
        <v>350</v>
      </c>
      <c r="K186">
        <v>134050</v>
      </c>
      <c r="L186">
        <v>8014.24</v>
      </c>
      <c r="M186">
        <v>25636.2</v>
      </c>
      <c r="N186" t="s">
        <v>19</v>
      </c>
    </row>
    <row r="187" spans="1:14" x14ac:dyDescent="0.3">
      <c r="A187">
        <v>9185</v>
      </c>
      <c r="B187" s="1">
        <v>45753</v>
      </c>
      <c r="C187">
        <v>2025</v>
      </c>
      <c r="D187" t="s">
        <v>49</v>
      </c>
      <c r="E187" t="s">
        <v>26</v>
      </c>
      <c r="F187" t="s">
        <v>34</v>
      </c>
      <c r="G187" t="s">
        <v>17</v>
      </c>
      <c r="H187" t="s">
        <v>52</v>
      </c>
      <c r="I187">
        <v>30</v>
      </c>
      <c r="J187">
        <v>300</v>
      </c>
      <c r="K187">
        <v>9000</v>
      </c>
      <c r="L187">
        <v>723.79</v>
      </c>
      <c r="M187">
        <v>2727.5</v>
      </c>
      <c r="N187" t="s">
        <v>24</v>
      </c>
    </row>
    <row r="188" spans="1:14" x14ac:dyDescent="0.3">
      <c r="A188">
        <v>9186</v>
      </c>
      <c r="B188" s="1">
        <v>45843</v>
      </c>
      <c r="C188">
        <v>2025</v>
      </c>
      <c r="D188" t="s">
        <v>54</v>
      </c>
      <c r="E188" t="s">
        <v>15</v>
      </c>
      <c r="F188" t="s">
        <v>21</v>
      </c>
      <c r="G188" t="s">
        <v>44</v>
      </c>
      <c r="H188" t="s">
        <v>56</v>
      </c>
      <c r="I188">
        <v>282</v>
      </c>
      <c r="J188">
        <v>80</v>
      </c>
      <c r="K188">
        <v>22560</v>
      </c>
      <c r="L188">
        <v>1441.73</v>
      </c>
      <c r="M188">
        <v>7170.59</v>
      </c>
      <c r="N188" t="s">
        <v>19</v>
      </c>
    </row>
    <row r="189" spans="1:14" x14ac:dyDescent="0.3">
      <c r="A189">
        <v>9187</v>
      </c>
      <c r="B189" s="1">
        <v>45900</v>
      </c>
      <c r="C189">
        <v>2025</v>
      </c>
      <c r="D189" t="s">
        <v>20</v>
      </c>
      <c r="E189" t="s">
        <v>30</v>
      </c>
      <c r="F189" t="s">
        <v>38</v>
      </c>
      <c r="G189" t="s">
        <v>22</v>
      </c>
      <c r="H189" t="s">
        <v>39</v>
      </c>
      <c r="I189">
        <v>37</v>
      </c>
      <c r="J189">
        <v>25</v>
      </c>
      <c r="K189">
        <v>925</v>
      </c>
      <c r="L189">
        <v>49.69</v>
      </c>
      <c r="M189">
        <v>263.56</v>
      </c>
      <c r="N189" t="s">
        <v>19</v>
      </c>
    </row>
    <row r="190" spans="1:14" x14ac:dyDescent="0.3">
      <c r="A190">
        <v>9188</v>
      </c>
      <c r="B190" s="1">
        <v>45858</v>
      </c>
      <c r="C190">
        <v>2025</v>
      </c>
      <c r="D190" t="s">
        <v>54</v>
      </c>
      <c r="E190" t="s">
        <v>26</v>
      </c>
      <c r="F190" t="s">
        <v>34</v>
      </c>
      <c r="G190" t="s">
        <v>17</v>
      </c>
      <c r="H190" t="s">
        <v>18</v>
      </c>
      <c r="I190">
        <v>349</v>
      </c>
      <c r="J190">
        <v>350</v>
      </c>
      <c r="K190">
        <v>122150</v>
      </c>
      <c r="L190">
        <v>11336.86</v>
      </c>
      <c r="M190">
        <v>26584.51</v>
      </c>
      <c r="N190" t="s">
        <v>19</v>
      </c>
    </row>
    <row r="191" spans="1:14" x14ac:dyDescent="0.3">
      <c r="A191">
        <v>9189</v>
      </c>
      <c r="B191" s="1">
        <v>45939</v>
      </c>
      <c r="C191">
        <v>2025</v>
      </c>
      <c r="D191" t="s">
        <v>33</v>
      </c>
      <c r="E191" t="s">
        <v>26</v>
      </c>
      <c r="F191" t="s">
        <v>27</v>
      </c>
      <c r="G191" t="s">
        <v>44</v>
      </c>
      <c r="H191" t="s">
        <v>45</v>
      </c>
      <c r="I191">
        <v>204</v>
      </c>
      <c r="J191">
        <v>55</v>
      </c>
      <c r="K191">
        <v>11220</v>
      </c>
      <c r="L191">
        <v>1109.03</v>
      </c>
      <c r="M191">
        <v>3230.21</v>
      </c>
      <c r="N191" t="s">
        <v>19</v>
      </c>
    </row>
    <row r="192" spans="1:14" x14ac:dyDescent="0.3">
      <c r="A192">
        <v>9190</v>
      </c>
      <c r="B192" s="1">
        <v>45672</v>
      </c>
      <c r="C192">
        <v>2025</v>
      </c>
      <c r="D192" t="s">
        <v>29</v>
      </c>
      <c r="E192" t="s">
        <v>30</v>
      </c>
      <c r="F192" t="s">
        <v>38</v>
      </c>
      <c r="G192" t="s">
        <v>17</v>
      </c>
      <c r="H192" t="s">
        <v>52</v>
      </c>
      <c r="I192">
        <v>236</v>
      </c>
      <c r="J192">
        <v>300</v>
      </c>
      <c r="K192">
        <v>70800</v>
      </c>
      <c r="L192">
        <v>6711.96</v>
      </c>
      <c r="M192">
        <v>11685.99</v>
      </c>
      <c r="N192" t="s">
        <v>24</v>
      </c>
    </row>
    <row r="193" spans="1:14" x14ac:dyDescent="0.3">
      <c r="A193">
        <v>9191</v>
      </c>
      <c r="B193" s="1">
        <v>46018</v>
      </c>
      <c r="C193">
        <v>2025</v>
      </c>
      <c r="D193" t="s">
        <v>51</v>
      </c>
      <c r="E193" t="s">
        <v>30</v>
      </c>
      <c r="F193" t="s">
        <v>31</v>
      </c>
      <c r="G193" t="s">
        <v>17</v>
      </c>
      <c r="H193" t="s">
        <v>55</v>
      </c>
      <c r="I193">
        <v>466</v>
      </c>
      <c r="J193">
        <v>120</v>
      </c>
      <c r="K193">
        <v>55920</v>
      </c>
      <c r="L193">
        <v>3342.22</v>
      </c>
      <c r="M193">
        <v>11469.36</v>
      </c>
      <c r="N193" t="s">
        <v>24</v>
      </c>
    </row>
    <row r="194" spans="1:14" x14ac:dyDescent="0.3">
      <c r="A194">
        <v>9192</v>
      </c>
      <c r="B194" s="1">
        <v>45838</v>
      </c>
      <c r="C194">
        <v>2025</v>
      </c>
      <c r="D194" t="s">
        <v>46</v>
      </c>
      <c r="E194" t="s">
        <v>26</v>
      </c>
      <c r="F194" t="s">
        <v>34</v>
      </c>
      <c r="G194" t="s">
        <v>22</v>
      </c>
      <c r="H194" t="s">
        <v>23</v>
      </c>
      <c r="I194">
        <v>17</v>
      </c>
      <c r="J194">
        <v>420</v>
      </c>
      <c r="K194">
        <v>7140</v>
      </c>
      <c r="L194">
        <v>454.08</v>
      </c>
      <c r="M194">
        <v>1358.7</v>
      </c>
      <c r="N194" t="s">
        <v>19</v>
      </c>
    </row>
    <row r="195" spans="1:14" x14ac:dyDescent="0.3">
      <c r="A195">
        <v>9193</v>
      </c>
      <c r="B195" s="1">
        <v>45693</v>
      </c>
      <c r="C195">
        <v>2025</v>
      </c>
      <c r="D195" t="s">
        <v>42</v>
      </c>
      <c r="E195" t="s">
        <v>30</v>
      </c>
      <c r="F195" t="s">
        <v>43</v>
      </c>
      <c r="G195" t="s">
        <v>35</v>
      </c>
      <c r="H195" t="s">
        <v>41</v>
      </c>
      <c r="I195">
        <v>298</v>
      </c>
      <c r="J195">
        <v>140</v>
      </c>
      <c r="K195">
        <v>41720</v>
      </c>
      <c r="L195">
        <v>2487.11</v>
      </c>
      <c r="M195">
        <v>13353.45</v>
      </c>
      <c r="N195" t="s">
        <v>24</v>
      </c>
    </row>
    <row r="196" spans="1:14" x14ac:dyDescent="0.3">
      <c r="A196">
        <v>9194</v>
      </c>
      <c r="B196" s="1">
        <v>45806</v>
      </c>
      <c r="C196">
        <v>2025</v>
      </c>
      <c r="D196" t="s">
        <v>14</v>
      </c>
      <c r="E196" t="s">
        <v>26</v>
      </c>
      <c r="F196" t="s">
        <v>53</v>
      </c>
      <c r="G196" t="s">
        <v>22</v>
      </c>
      <c r="H196" t="s">
        <v>39</v>
      </c>
      <c r="I196">
        <v>353</v>
      </c>
      <c r="J196">
        <v>25</v>
      </c>
      <c r="K196">
        <v>8825</v>
      </c>
      <c r="L196">
        <v>781.4</v>
      </c>
      <c r="M196">
        <v>2637.16</v>
      </c>
      <c r="N196" t="s">
        <v>24</v>
      </c>
    </row>
    <row r="197" spans="1:14" x14ac:dyDescent="0.3">
      <c r="A197">
        <v>9195</v>
      </c>
      <c r="B197" s="1">
        <v>45819</v>
      </c>
      <c r="C197">
        <v>2025</v>
      </c>
      <c r="D197" t="s">
        <v>46</v>
      </c>
      <c r="E197" t="s">
        <v>15</v>
      </c>
      <c r="F197" t="s">
        <v>16</v>
      </c>
      <c r="G197" t="s">
        <v>22</v>
      </c>
      <c r="H197" t="s">
        <v>39</v>
      </c>
      <c r="I197">
        <v>255</v>
      </c>
      <c r="J197">
        <v>25</v>
      </c>
      <c r="K197">
        <v>6375</v>
      </c>
      <c r="L197">
        <v>509.26</v>
      </c>
      <c r="M197">
        <v>1620.17</v>
      </c>
      <c r="N197" t="s">
        <v>19</v>
      </c>
    </row>
    <row r="198" spans="1:14" x14ac:dyDescent="0.3">
      <c r="A198">
        <v>9196</v>
      </c>
      <c r="B198" s="1">
        <v>45687</v>
      </c>
      <c r="C198">
        <v>2025</v>
      </c>
      <c r="D198" t="s">
        <v>29</v>
      </c>
      <c r="E198" t="s">
        <v>26</v>
      </c>
      <c r="F198" t="s">
        <v>27</v>
      </c>
      <c r="G198" t="s">
        <v>17</v>
      </c>
      <c r="H198" t="s">
        <v>18</v>
      </c>
      <c r="I198">
        <v>248</v>
      </c>
      <c r="J198">
        <v>350</v>
      </c>
      <c r="K198">
        <v>86800</v>
      </c>
      <c r="L198">
        <v>6989.3</v>
      </c>
      <c r="M198">
        <v>19202.150000000001</v>
      </c>
      <c r="N198" t="s">
        <v>24</v>
      </c>
    </row>
    <row r="199" spans="1:14" x14ac:dyDescent="0.3">
      <c r="A199">
        <v>9197</v>
      </c>
      <c r="B199" s="1">
        <v>46009</v>
      </c>
      <c r="C199">
        <v>2025</v>
      </c>
      <c r="D199" t="s">
        <v>51</v>
      </c>
      <c r="E199" t="s">
        <v>15</v>
      </c>
      <c r="F199" t="s">
        <v>16</v>
      </c>
      <c r="G199" t="s">
        <v>22</v>
      </c>
      <c r="H199" t="s">
        <v>32</v>
      </c>
      <c r="I199">
        <v>422</v>
      </c>
      <c r="J199">
        <v>60</v>
      </c>
      <c r="K199">
        <v>25320</v>
      </c>
      <c r="L199">
        <v>2264.9899999999998</v>
      </c>
      <c r="M199">
        <v>6868.72</v>
      </c>
      <c r="N199" t="s">
        <v>24</v>
      </c>
    </row>
    <row r="200" spans="1:14" x14ac:dyDescent="0.3">
      <c r="A200">
        <v>9198</v>
      </c>
      <c r="B200" s="1">
        <v>45800</v>
      </c>
      <c r="C200">
        <v>2025</v>
      </c>
      <c r="D200" t="s">
        <v>14</v>
      </c>
      <c r="E200" t="s">
        <v>26</v>
      </c>
      <c r="F200" t="s">
        <v>27</v>
      </c>
      <c r="G200" t="s">
        <v>44</v>
      </c>
      <c r="H200" t="s">
        <v>45</v>
      </c>
      <c r="I200">
        <v>156</v>
      </c>
      <c r="J200">
        <v>55</v>
      </c>
      <c r="K200">
        <v>8580</v>
      </c>
      <c r="L200">
        <v>561.22</v>
      </c>
      <c r="M200">
        <v>2043.17</v>
      </c>
      <c r="N200" t="s">
        <v>24</v>
      </c>
    </row>
    <row r="201" spans="1:14" x14ac:dyDescent="0.3">
      <c r="A201">
        <v>9199</v>
      </c>
      <c r="B201" s="1">
        <v>45796</v>
      </c>
      <c r="C201">
        <v>2025</v>
      </c>
      <c r="D201" t="s">
        <v>14</v>
      </c>
      <c r="E201" t="s">
        <v>26</v>
      </c>
      <c r="F201" t="s">
        <v>34</v>
      </c>
      <c r="G201" t="s">
        <v>22</v>
      </c>
      <c r="H201" t="s">
        <v>47</v>
      </c>
      <c r="I201">
        <v>163</v>
      </c>
      <c r="J201">
        <v>45</v>
      </c>
      <c r="K201">
        <v>7335</v>
      </c>
      <c r="L201">
        <v>675.48</v>
      </c>
      <c r="M201">
        <v>1331.06</v>
      </c>
      <c r="N201" t="s">
        <v>24</v>
      </c>
    </row>
    <row r="202" spans="1:14" x14ac:dyDescent="0.3">
      <c r="A202">
        <v>9200</v>
      </c>
      <c r="B202" s="1">
        <v>46020</v>
      </c>
      <c r="C202">
        <v>2025</v>
      </c>
      <c r="D202" t="s">
        <v>51</v>
      </c>
      <c r="E202" t="s">
        <v>15</v>
      </c>
      <c r="F202" t="s">
        <v>16</v>
      </c>
      <c r="G202" t="s">
        <v>22</v>
      </c>
      <c r="H202" t="s">
        <v>39</v>
      </c>
      <c r="I202">
        <v>198</v>
      </c>
      <c r="J202">
        <v>25</v>
      </c>
      <c r="K202">
        <v>4950</v>
      </c>
      <c r="L202">
        <v>367.47</v>
      </c>
      <c r="M202">
        <v>1049.94</v>
      </c>
      <c r="N202" t="s">
        <v>19</v>
      </c>
    </row>
    <row r="203" spans="1:14" x14ac:dyDescent="0.3">
      <c r="A203">
        <v>9201</v>
      </c>
      <c r="B203" s="1">
        <v>45974</v>
      </c>
      <c r="C203">
        <v>2025</v>
      </c>
      <c r="D203" t="s">
        <v>25</v>
      </c>
      <c r="E203" t="s">
        <v>30</v>
      </c>
      <c r="F203" t="s">
        <v>38</v>
      </c>
      <c r="G203" t="s">
        <v>35</v>
      </c>
      <c r="H203" t="s">
        <v>41</v>
      </c>
      <c r="I203">
        <v>359</v>
      </c>
      <c r="J203">
        <v>140</v>
      </c>
      <c r="K203">
        <v>50260</v>
      </c>
      <c r="L203">
        <v>3647.22</v>
      </c>
      <c r="M203">
        <v>9767.7800000000007</v>
      </c>
      <c r="N203" t="s">
        <v>19</v>
      </c>
    </row>
    <row r="204" spans="1:14" x14ac:dyDescent="0.3">
      <c r="A204">
        <v>9202</v>
      </c>
      <c r="B204" s="1">
        <v>45989</v>
      </c>
      <c r="C204">
        <v>2025</v>
      </c>
      <c r="D204" t="s">
        <v>25</v>
      </c>
      <c r="E204" t="s">
        <v>30</v>
      </c>
      <c r="F204" t="s">
        <v>31</v>
      </c>
      <c r="G204" t="s">
        <v>22</v>
      </c>
      <c r="H204" t="s">
        <v>28</v>
      </c>
      <c r="I204">
        <v>401</v>
      </c>
      <c r="J204">
        <v>50</v>
      </c>
      <c r="K204">
        <v>20050</v>
      </c>
      <c r="L204">
        <v>1278.42</v>
      </c>
      <c r="M204">
        <v>5582.87</v>
      </c>
      <c r="N204" t="s">
        <v>19</v>
      </c>
    </row>
    <row r="205" spans="1:14" x14ac:dyDescent="0.3">
      <c r="A205">
        <v>9203</v>
      </c>
      <c r="B205" s="1">
        <v>45706</v>
      </c>
      <c r="C205">
        <v>2025</v>
      </c>
      <c r="D205" t="s">
        <v>42</v>
      </c>
      <c r="E205" t="s">
        <v>30</v>
      </c>
      <c r="F205" t="s">
        <v>31</v>
      </c>
      <c r="G205" t="s">
        <v>22</v>
      </c>
      <c r="H205" t="s">
        <v>23</v>
      </c>
      <c r="I205">
        <v>372</v>
      </c>
      <c r="J205">
        <v>420</v>
      </c>
      <c r="K205">
        <v>156240</v>
      </c>
      <c r="L205">
        <v>8238.85</v>
      </c>
      <c r="M205">
        <v>38397.94</v>
      </c>
      <c r="N205" t="s">
        <v>19</v>
      </c>
    </row>
    <row r="206" spans="1:14" x14ac:dyDescent="0.3">
      <c r="A206">
        <v>9204</v>
      </c>
      <c r="B206" s="1">
        <v>45673</v>
      </c>
      <c r="C206">
        <v>2025</v>
      </c>
      <c r="D206" t="s">
        <v>29</v>
      </c>
      <c r="E206" t="s">
        <v>15</v>
      </c>
      <c r="F206" t="s">
        <v>16</v>
      </c>
      <c r="G206" t="s">
        <v>17</v>
      </c>
      <c r="H206" t="s">
        <v>18</v>
      </c>
      <c r="I206">
        <v>296</v>
      </c>
      <c r="J206">
        <v>350</v>
      </c>
      <c r="K206">
        <v>103600</v>
      </c>
      <c r="L206">
        <v>7603.26</v>
      </c>
      <c r="M206">
        <v>22558</v>
      </c>
      <c r="N206" t="s">
        <v>19</v>
      </c>
    </row>
    <row r="207" spans="1:14" x14ac:dyDescent="0.3">
      <c r="A207">
        <v>9205</v>
      </c>
      <c r="B207" s="1">
        <v>45875</v>
      </c>
      <c r="C207">
        <v>2025</v>
      </c>
      <c r="D207" t="s">
        <v>20</v>
      </c>
      <c r="E207" t="s">
        <v>26</v>
      </c>
      <c r="F207" t="s">
        <v>53</v>
      </c>
      <c r="G207" t="s">
        <v>17</v>
      </c>
      <c r="H207" t="s">
        <v>55</v>
      </c>
      <c r="I207">
        <v>155</v>
      </c>
      <c r="J207">
        <v>120</v>
      </c>
      <c r="K207">
        <v>18600</v>
      </c>
      <c r="L207">
        <v>1841.01</v>
      </c>
      <c r="M207">
        <v>5521.03</v>
      </c>
      <c r="N207" t="s">
        <v>19</v>
      </c>
    </row>
    <row r="208" spans="1:14" x14ac:dyDescent="0.3">
      <c r="A208">
        <v>9206</v>
      </c>
      <c r="B208" s="1">
        <v>45837</v>
      </c>
      <c r="C208">
        <v>2025</v>
      </c>
      <c r="D208" t="s">
        <v>46</v>
      </c>
      <c r="E208" t="s">
        <v>15</v>
      </c>
      <c r="F208" t="s">
        <v>16</v>
      </c>
      <c r="G208" t="s">
        <v>22</v>
      </c>
      <c r="H208" t="s">
        <v>39</v>
      </c>
      <c r="I208">
        <v>310</v>
      </c>
      <c r="J208">
        <v>25</v>
      </c>
      <c r="K208">
        <v>7750</v>
      </c>
      <c r="L208">
        <v>574.62</v>
      </c>
      <c r="M208">
        <v>1695.75</v>
      </c>
      <c r="N208" t="s">
        <v>24</v>
      </c>
    </row>
    <row r="209" spans="1:14" x14ac:dyDescent="0.3">
      <c r="A209">
        <v>9207</v>
      </c>
      <c r="B209" s="1">
        <v>45914</v>
      </c>
      <c r="C209">
        <v>2025</v>
      </c>
      <c r="D209" t="s">
        <v>37</v>
      </c>
      <c r="E209" t="s">
        <v>30</v>
      </c>
      <c r="F209" t="s">
        <v>38</v>
      </c>
      <c r="G209" t="s">
        <v>44</v>
      </c>
      <c r="H209" t="s">
        <v>45</v>
      </c>
      <c r="I209">
        <v>124</v>
      </c>
      <c r="J209">
        <v>55</v>
      </c>
      <c r="K209">
        <v>6820</v>
      </c>
      <c r="L209">
        <v>548.97</v>
      </c>
      <c r="M209">
        <v>1789.38</v>
      </c>
      <c r="N209" t="s">
        <v>24</v>
      </c>
    </row>
    <row r="210" spans="1:14" x14ac:dyDescent="0.3">
      <c r="A210">
        <v>9208</v>
      </c>
      <c r="B210" s="1">
        <v>45808</v>
      </c>
      <c r="C210">
        <v>2025</v>
      </c>
      <c r="D210" t="s">
        <v>14</v>
      </c>
      <c r="E210" t="s">
        <v>26</v>
      </c>
      <c r="F210" t="s">
        <v>48</v>
      </c>
      <c r="G210" t="s">
        <v>17</v>
      </c>
      <c r="H210" t="s">
        <v>18</v>
      </c>
      <c r="I210">
        <v>23</v>
      </c>
      <c r="J210">
        <v>350</v>
      </c>
      <c r="K210">
        <v>8050</v>
      </c>
      <c r="L210">
        <v>693.96</v>
      </c>
      <c r="M210">
        <v>2282.13</v>
      </c>
      <c r="N210" t="s">
        <v>24</v>
      </c>
    </row>
    <row r="211" spans="1:14" x14ac:dyDescent="0.3">
      <c r="A211">
        <v>9209</v>
      </c>
      <c r="B211" s="1">
        <v>45951</v>
      </c>
      <c r="C211">
        <v>2025</v>
      </c>
      <c r="D211" t="s">
        <v>33</v>
      </c>
      <c r="E211" t="s">
        <v>26</v>
      </c>
      <c r="F211" t="s">
        <v>53</v>
      </c>
      <c r="G211" t="s">
        <v>17</v>
      </c>
      <c r="H211" t="s">
        <v>18</v>
      </c>
      <c r="I211">
        <v>50</v>
      </c>
      <c r="J211">
        <v>350</v>
      </c>
      <c r="K211">
        <v>17500</v>
      </c>
      <c r="L211">
        <v>1164.8499999999999</v>
      </c>
      <c r="M211">
        <v>3831.52</v>
      </c>
      <c r="N211" t="s">
        <v>24</v>
      </c>
    </row>
    <row r="212" spans="1:14" x14ac:dyDescent="0.3">
      <c r="A212">
        <v>9210</v>
      </c>
      <c r="B212" s="1">
        <v>45721</v>
      </c>
      <c r="C212">
        <v>2025</v>
      </c>
      <c r="D212" t="s">
        <v>40</v>
      </c>
      <c r="E212" t="s">
        <v>26</v>
      </c>
      <c r="F212" t="s">
        <v>53</v>
      </c>
      <c r="G212" t="s">
        <v>22</v>
      </c>
      <c r="H212" t="s">
        <v>32</v>
      </c>
      <c r="I212">
        <v>372</v>
      </c>
      <c r="J212">
        <v>60</v>
      </c>
      <c r="K212">
        <v>22320</v>
      </c>
      <c r="L212">
        <v>1163.99</v>
      </c>
      <c r="M212">
        <v>7194.56</v>
      </c>
      <c r="N212" t="s">
        <v>19</v>
      </c>
    </row>
    <row r="213" spans="1:14" x14ac:dyDescent="0.3">
      <c r="A213">
        <v>9211</v>
      </c>
      <c r="B213" s="1">
        <v>45804</v>
      </c>
      <c r="C213">
        <v>2025</v>
      </c>
      <c r="D213" t="s">
        <v>14</v>
      </c>
      <c r="E213" t="s">
        <v>30</v>
      </c>
      <c r="F213" t="s">
        <v>31</v>
      </c>
      <c r="G213" t="s">
        <v>22</v>
      </c>
      <c r="H213" t="s">
        <v>39</v>
      </c>
      <c r="I213">
        <v>131</v>
      </c>
      <c r="J213">
        <v>25</v>
      </c>
      <c r="K213">
        <v>3275</v>
      </c>
      <c r="L213">
        <v>167.06</v>
      </c>
      <c r="M213">
        <v>835.01</v>
      </c>
      <c r="N213" t="s">
        <v>24</v>
      </c>
    </row>
    <row r="214" spans="1:14" x14ac:dyDescent="0.3">
      <c r="A214">
        <v>9212</v>
      </c>
      <c r="B214" s="1">
        <v>45725</v>
      </c>
      <c r="C214">
        <v>2025</v>
      </c>
      <c r="D214" t="s">
        <v>40</v>
      </c>
      <c r="E214" t="s">
        <v>26</v>
      </c>
      <c r="F214" t="s">
        <v>53</v>
      </c>
      <c r="G214" t="s">
        <v>17</v>
      </c>
      <c r="H214" t="s">
        <v>55</v>
      </c>
      <c r="I214">
        <v>448</v>
      </c>
      <c r="J214">
        <v>120</v>
      </c>
      <c r="K214">
        <v>53760</v>
      </c>
      <c r="L214">
        <v>4466.25</v>
      </c>
      <c r="M214">
        <v>14438.66</v>
      </c>
      <c r="N214" t="s">
        <v>19</v>
      </c>
    </row>
    <row r="215" spans="1:14" x14ac:dyDescent="0.3">
      <c r="A215">
        <v>9213</v>
      </c>
      <c r="B215" s="1">
        <v>45670</v>
      </c>
      <c r="C215">
        <v>2025</v>
      </c>
      <c r="D215" t="s">
        <v>29</v>
      </c>
      <c r="E215" t="s">
        <v>26</v>
      </c>
      <c r="F215" t="s">
        <v>48</v>
      </c>
      <c r="G215" t="s">
        <v>44</v>
      </c>
      <c r="H215" t="s">
        <v>56</v>
      </c>
      <c r="I215">
        <v>500</v>
      </c>
      <c r="J215">
        <v>80</v>
      </c>
      <c r="K215">
        <v>40000</v>
      </c>
      <c r="L215">
        <v>2951.53</v>
      </c>
      <c r="M215">
        <v>7290.02</v>
      </c>
      <c r="N215" t="s">
        <v>19</v>
      </c>
    </row>
    <row r="216" spans="1:14" x14ac:dyDescent="0.3">
      <c r="A216">
        <v>9214</v>
      </c>
      <c r="B216" s="1">
        <v>45680</v>
      </c>
      <c r="C216">
        <v>2025</v>
      </c>
      <c r="D216" t="s">
        <v>29</v>
      </c>
      <c r="E216" t="s">
        <v>15</v>
      </c>
      <c r="F216" t="s">
        <v>21</v>
      </c>
      <c r="G216" t="s">
        <v>22</v>
      </c>
      <c r="H216" t="s">
        <v>28</v>
      </c>
      <c r="I216">
        <v>395</v>
      </c>
      <c r="J216">
        <v>50</v>
      </c>
      <c r="K216">
        <v>19750</v>
      </c>
      <c r="L216">
        <v>1769.29</v>
      </c>
      <c r="M216">
        <v>5590.42</v>
      </c>
      <c r="N216" t="s">
        <v>19</v>
      </c>
    </row>
    <row r="217" spans="1:14" x14ac:dyDescent="0.3">
      <c r="A217">
        <v>9215</v>
      </c>
      <c r="B217" s="1">
        <v>45829</v>
      </c>
      <c r="C217">
        <v>2025</v>
      </c>
      <c r="D217" t="s">
        <v>46</v>
      </c>
      <c r="E217" t="s">
        <v>30</v>
      </c>
      <c r="F217" t="s">
        <v>43</v>
      </c>
      <c r="G217" t="s">
        <v>22</v>
      </c>
      <c r="H217" t="s">
        <v>23</v>
      </c>
      <c r="I217">
        <v>39</v>
      </c>
      <c r="J217">
        <v>420</v>
      </c>
      <c r="K217">
        <v>16380</v>
      </c>
      <c r="L217">
        <v>1605.82</v>
      </c>
      <c r="M217">
        <v>3038.22</v>
      </c>
      <c r="N217" t="s">
        <v>19</v>
      </c>
    </row>
    <row r="218" spans="1:14" x14ac:dyDescent="0.3">
      <c r="A218">
        <v>9216</v>
      </c>
      <c r="B218" s="1">
        <v>46003</v>
      </c>
      <c r="C218">
        <v>2025</v>
      </c>
      <c r="D218" t="s">
        <v>51</v>
      </c>
      <c r="E218" t="s">
        <v>30</v>
      </c>
      <c r="F218" t="s">
        <v>43</v>
      </c>
      <c r="G218" t="s">
        <v>44</v>
      </c>
      <c r="H218" t="s">
        <v>50</v>
      </c>
      <c r="I218">
        <v>37</v>
      </c>
      <c r="J218">
        <v>150</v>
      </c>
      <c r="K218">
        <v>5550</v>
      </c>
      <c r="L218">
        <v>484.86</v>
      </c>
      <c r="M218">
        <v>1048.1600000000001</v>
      </c>
      <c r="N218" t="s">
        <v>19</v>
      </c>
    </row>
    <row r="219" spans="1:14" x14ac:dyDescent="0.3">
      <c r="A219">
        <v>9217</v>
      </c>
      <c r="B219" s="1">
        <v>45697</v>
      </c>
      <c r="C219">
        <v>2025</v>
      </c>
      <c r="D219" t="s">
        <v>42</v>
      </c>
      <c r="E219" t="s">
        <v>30</v>
      </c>
      <c r="F219" t="s">
        <v>38</v>
      </c>
      <c r="G219" t="s">
        <v>22</v>
      </c>
      <c r="H219" t="s">
        <v>23</v>
      </c>
      <c r="I219">
        <v>86</v>
      </c>
      <c r="J219">
        <v>420</v>
      </c>
      <c r="K219">
        <v>36120</v>
      </c>
      <c r="L219">
        <v>3067.74</v>
      </c>
      <c r="M219">
        <v>11360.16</v>
      </c>
      <c r="N219" t="s">
        <v>19</v>
      </c>
    </row>
    <row r="220" spans="1:14" x14ac:dyDescent="0.3">
      <c r="A220">
        <v>9218</v>
      </c>
      <c r="B220" s="1">
        <v>45753</v>
      </c>
      <c r="C220">
        <v>2025</v>
      </c>
      <c r="D220" t="s">
        <v>49</v>
      </c>
      <c r="E220" t="s">
        <v>15</v>
      </c>
      <c r="F220" t="s">
        <v>21</v>
      </c>
      <c r="G220" t="s">
        <v>35</v>
      </c>
      <c r="H220" t="s">
        <v>36</v>
      </c>
      <c r="I220">
        <v>287</v>
      </c>
      <c r="J220">
        <v>35</v>
      </c>
      <c r="K220">
        <v>10045</v>
      </c>
      <c r="L220">
        <v>659.57</v>
      </c>
      <c r="M220">
        <v>1967.08</v>
      </c>
      <c r="N220" t="s">
        <v>19</v>
      </c>
    </row>
    <row r="221" spans="1:14" x14ac:dyDescent="0.3">
      <c r="A221">
        <v>9219</v>
      </c>
      <c r="B221" s="1">
        <v>45931</v>
      </c>
      <c r="C221">
        <v>2025</v>
      </c>
      <c r="D221" t="s">
        <v>33</v>
      </c>
      <c r="E221" t="s">
        <v>15</v>
      </c>
      <c r="F221" t="s">
        <v>16</v>
      </c>
      <c r="G221" t="s">
        <v>35</v>
      </c>
      <c r="H221" t="s">
        <v>41</v>
      </c>
      <c r="I221">
        <v>395</v>
      </c>
      <c r="J221">
        <v>140</v>
      </c>
      <c r="K221">
        <v>55300</v>
      </c>
      <c r="L221">
        <v>3502.96</v>
      </c>
      <c r="M221">
        <v>17374.87</v>
      </c>
      <c r="N221" t="s">
        <v>24</v>
      </c>
    </row>
    <row r="222" spans="1:14" x14ac:dyDescent="0.3">
      <c r="A222">
        <v>9220</v>
      </c>
      <c r="B222" s="1">
        <v>45671</v>
      </c>
      <c r="C222">
        <v>2025</v>
      </c>
      <c r="D222" t="s">
        <v>29</v>
      </c>
      <c r="E222" t="s">
        <v>30</v>
      </c>
      <c r="F222" t="s">
        <v>43</v>
      </c>
      <c r="G222" t="s">
        <v>22</v>
      </c>
      <c r="H222" t="s">
        <v>47</v>
      </c>
      <c r="I222">
        <v>381</v>
      </c>
      <c r="J222">
        <v>45</v>
      </c>
      <c r="K222">
        <v>17145</v>
      </c>
      <c r="L222">
        <v>971.07</v>
      </c>
      <c r="M222">
        <v>5843.37</v>
      </c>
      <c r="N222" t="s">
        <v>19</v>
      </c>
    </row>
    <row r="223" spans="1:14" x14ac:dyDescent="0.3">
      <c r="A223">
        <v>9221</v>
      </c>
      <c r="B223" s="1">
        <v>45894</v>
      </c>
      <c r="C223">
        <v>2025</v>
      </c>
      <c r="D223" t="s">
        <v>20</v>
      </c>
      <c r="E223" t="s">
        <v>15</v>
      </c>
      <c r="F223" t="s">
        <v>21</v>
      </c>
      <c r="G223" t="s">
        <v>22</v>
      </c>
      <c r="H223" t="s">
        <v>28</v>
      </c>
      <c r="I223">
        <v>298</v>
      </c>
      <c r="J223">
        <v>50</v>
      </c>
      <c r="K223">
        <v>14900</v>
      </c>
      <c r="L223">
        <v>1354.64</v>
      </c>
      <c r="M223">
        <v>2967.69</v>
      </c>
      <c r="N223" t="s">
        <v>19</v>
      </c>
    </row>
    <row r="224" spans="1:14" x14ac:dyDescent="0.3">
      <c r="A224">
        <v>9222</v>
      </c>
      <c r="B224" s="1">
        <v>45989</v>
      </c>
      <c r="C224">
        <v>2025</v>
      </c>
      <c r="D224" t="s">
        <v>25</v>
      </c>
      <c r="E224" t="s">
        <v>26</v>
      </c>
      <c r="F224" t="s">
        <v>27</v>
      </c>
      <c r="G224" t="s">
        <v>17</v>
      </c>
      <c r="H224" t="s">
        <v>18</v>
      </c>
      <c r="I224">
        <v>500</v>
      </c>
      <c r="J224">
        <v>350</v>
      </c>
      <c r="K224">
        <v>175000</v>
      </c>
      <c r="L224">
        <v>11898.36</v>
      </c>
      <c r="M224">
        <v>43683.75</v>
      </c>
      <c r="N224" t="s">
        <v>24</v>
      </c>
    </row>
    <row r="225" spans="1:14" x14ac:dyDescent="0.3">
      <c r="A225">
        <v>9223</v>
      </c>
      <c r="B225" s="1">
        <v>45660</v>
      </c>
      <c r="C225">
        <v>2025</v>
      </c>
      <c r="D225" t="s">
        <v>29</v>
      </c>
      <c r="E225" t="s">
        <v>26</v>
      </c>
      <c r="F225" t="s">
        <v>48</v>
      </c>
      <c r="G225" t="s">
        <v>35</v>
      </c>
      <c r="H225" t="s">
        <v>41</v>
      </c>
      <c r="I225">
        <v>424</v>
      </c>
      <c r="J225">
        <v>140</v>
      </c>
      <c r="K225">
        <v>59360</v>
      </c>
      <c r="L225">
        <v>3144.39</v>
      </c>
      <c r="M225">
        <v>18119.810000000001</v>
      </c>
      <c r="N225" t="s">
        <v>24</v>
      </c>
    </row>
    <row r="226" spans="1:14" x14ac:dyDescent="0.3">
      <c r="A226">
        <v>9224</v>
      </c>
      <c r="B226" s="1">
        <v>46017</v>
      </c>
      <c r="C226">
        <v>2025</v>
      </c>
      <c r="D226" t="s">
        <v>51</v>
      </c>
      <c r="E226" t="s">
        <v>26</v>
      </c>
      <c r="F226" t="s">
        <v>34</v>
      </c>
      <c r="G226" t="s">
        <v>35</v>
      </c>
      <c r="H226" t="s">
        <v>36</v>
      </c>
      <c r="I226">
        <v>365</v>
      </c>
      <c r="J226">
        <v>35</v>
      </c>
      <c r="K226">
        <v>12775</v>
      </c>
      <c r="L226">
        <v>692.2</v>
      </c>
      <c r="M226">
        <v>2654.26</v>
      </c>
      <c r="N226" t="s">
        <v>24</v>
      </c>
    </row>
    <row r="227" spans="1:14" x14ac:dyDescent="0.3">
      <c r="A227">
        <v>9225</v>
      </c>
      <c r="B227" s="1">
        <v>45733</v>
      </c>
      <c r="C227">
        <v>2025</v>
      </c>
      <c r="D227" t="s">
        <v>40</v>
      </c>
      <c r="E227" t="s">
        <v>26</v>
      </c>
      <c r="F227" t="s">
        <v>27</v>
      </c>
      <c r="G227" t="s">
        <v>22</v>
      </c>
      <c r="H227" t="s">
        <v>47</v>
      </c>
      <c r="I227">
        <v>432</v>
      </c>
      <c r="J227">
        <v>45</v>
      </c>
      <c r="K227">
        <v>19440</v>
      </c>
      <c r="L227">
        <v>1704.97</v>
      </c>
      <c r="M227">
        <v>5662.47</v>
      </c>
      <c r="N227" t="s">
        <v>24</v>
      </c>
    </row>
    <row r="228" spans="1:14" x14ac:dyDescent="0.3">
      <c r="A228">
        <v>9226</v>
      </c>
      <c r="B228" s="1">
        <v>45895</v>
      </c>
      <c r="C228">
        <v>2025</v>
      </c>
      <c r="D228" t="s">
        <v>20</v>
      </c>
      <c r="E228" t="s">
        <v>26</v>
      </c>
      <c r="F228" t="s">
        <v>27</v>
      </c>
      <c r="G228" t="s">
        <v>35</v>
      </c>
      <c r="H228" t="s">
        <v>41</v>
      </c>
      <c r="I228">
        <v>300</v>
      </c>
      <c r="J228">
        <v>140</v>
      </c>
      <c r="K228">
        <v>42000</v>
      </c>
      <c r="L228">
        <v>2778.79</v>
      </c>
      <c r="M228">
        <v>9829.64</v>
      </c>
      <c r="N228" t="s">
        <v>19</v>
      </c>
    </row>
    <row r="229" spans="1:14" x14ac:dyDescent="0.3">
      <c r="A229">
        <v>9227</v>
      </c>
      <c r="B229" s="1">
        <v>45931</v>
      </c>
      <c r="C229">
        <v>2025</v>
      </c>
      <c r="D229" t="s">
        <v>33</v>
      </c>
      <c r="E229" t="s">
        <v>26</v>
      </c>
      <c r="F229" t="s">
        <v>34</v>
      </c>
      <c r="G229" t="s">
        <v>22</v>
      </c>
      <c r="H229" t="s">
        <v>32</v>
      </c>
      <c r="I229">
        <v>89</v>
      </c>
      <c r="J229">
        <v>60</v>
      </c>
      <c r="K229">
        <v>5340</v>
      </c>
      <c r="L229">
        <v>326.39</v>
      </c>
      <c r="M229">
        <v>1594.25</v>
      </c>
      <c r="N229" t="s">
        <v>19</v>
      </c>
    </row>
    <row r="230" spans="1:14" x14ac:dyDescent="0.3">
      <c r="A230">
        <v>9228</v>
      </c>
      <c r="B230" s="1">
        <v>45981</v>
      </c>
      <c r="C230">
        <v>2025</v>
      </c>
      <c r="D230" t="s">
        <v>25</v>
      </c>
      <c r="E230" t="s">
        <v>26</v>
      </c>
      <c r="F230" t="s">
        <v>34</v>
      </c>
      <c r="G230" t="s">
        <v>22</v>
      </c>
      <c r="H230" t="s">
        <v>23</v>
      </c>
      <c r="I230">
        <v>120</v>
      </c>
      <c r="J230">
        <v>420</v>
      </c>
      <c r="K230">
        <v>50400</v>
      </c>
      <c r="L230">
        <v>2740.65</v>
      </c>
      <c r="M230">
        <v>12305.69</v>
      </c>
      <c r="N230" t="s">
        <v>24</v>
      </c>
    </row>
    <row r="231" spans="1:14" x14ac:dyDescent="0.3">
      <c r="A231">
        <v>9229</v>
      </c>
      <c r="B231" s="1">
        <v>45893</v>
      </c>
      <c r="C231">
        <v>2025</v>
      </c>
      <c r="D231" t="s">
        <v>20</v>
      </c>
      <c r="E231" t="s">
        <v>15</v>
      </c>
      <c r="F231" t="s">
        <v>21</v>
      </c>
      <c r="G231" t="s">
        <v>22</v>
      </c>
      <c r="H231" t="s">
        <v>32</v>
      </c>
      <c r="I231">
        <v>38</v>
      </c>
      <c r="J231">
        <v>60</v>
      </c>
      <c r="K231">
        <v>2280</v>
      </c>
      <c r="L231">
        <v>132.1</v>
      </c>
      <c r="M231">
        <v>621.94000000000005</v>
      </c>
      <c r="N231" t="s">
        <v>19</v>
      </c>
    </row>
    <row r="232" spans="1:14" x14ac:dyDescent="0.3">
      <c r="A232">
        <v>9230</v>
      </c>
      <c r="B232" s="1">
        <v>45903</v>
      </c>
      <c r="C232">
        <v>2025</v>
      </c>
      <c r="D232" t="s">
        <v>37</v>
      </c>
      <c r="E232" t="s">
        <v>30</v>
      </c>
      <c r="F232" t="s">
        <v>31</v>
      </c>
      <c r="G232" t="s">
        <v>17</v>
      </c>
      <c r="H232" t="s">
        <v>52</v>
      </c>
      <c r="I232">
        <v>235</v>
      </c>
      <c r="J232">
        <v>300</v>
      </c>
      <c r="K232">
        <v>70500</v>
      </c>
      <c r="L232">
        <v>5504.83</v>
      </c>
      <c r="M232">
        <v>21586.47</v>
      </c>
      <c r="N232" t="s">
        <v>19</v>
      </c>
    </row>
    <row r="233" spans="1:14" x14ac:dyDescent="0.3">
      <c r="A233">
        <v>9231</v>
      </c>
      <c r="B233" s="1">
        <v>45873</v>
      </c>
      <c r="C233">
        <v>2025</v>
      </c>
      <c r="D233" t="s">
        <v>20</v>
      </c>
      <c r="E233" t="s">
        <v>26</v>
      </c>
      <c r="F233" t="s">
        <v>53</v>
      </c>
      <c r="G233" t="s">
        <v>22</v>
      </c>
      <c r="H233" t="s">
        <v>32</v>
      </c>
      <c r="I233">
        <v>210</v>
      </c>
      <c r="J233">
        <v>60</v>
      </c>
      <c r="K233">
        <v>12600</v>
      </c>
      <c r="L233">
        <v>969.23</v>
      </c>
      <c r="M233">
        <v>2720.76</v>
      </c>
      <c r="N233" t="s">
        <v>24</v>
      </c>
    </row>
    <row r="234" spans="1:14" x14ac:dyDescent="0.3">
      <c r="A234">
        <v>9232</v>
      </c>
      <c r="B234" s="1">
        <v>45672</v>
      </c>
      <c r="C234">
        <v>2025</v>
      </c>
      <c r="D234" t="s">
        <v>29</v>
      </c>
      <c r="E234" t="s">
        <v>30</v>
      </c>
      <c r="F234" t="s">
        <v>31</v>
      </c>
      <c r="G234" t="s">
        <v>17</v>
      </c>
      <c r="H234" t="s">
        <v>55</v>
      </c>
      <c r="I234">
        <v>202</v>
      </c>
      <c r="J234">
        <v>120</v>
      </c>
      <c r="K234">
        <v>24240</v>
      </c>
      <c r="L234">
        <v>2164.02</v>
      </c>
      <c r="M234">
        <v>4728.84</v>
      </c>
      <c r="N234" t="s">
        <v>19</v>
      </c>
    </row>
    <row r="235" spans="1:14" x14ac:dyDescent="0.3">
      <c r="A235">
        <v>9233</v>
      </c>
      <c r="B235" s="1">
        <v>45709</v>
      </c>
      <c r="C235">
        <v>2025</v>
      </c>
      <c r="D235" t="s">
        <v>42</v>
      </c>
      <c r="E235" t="s">
        <v>15</v>
      </c>
      <c r="F235" t="s">
        <v>21</v>
      </c>
      <c r="G235" t="s">
        <v>22</v>
      </c>
      <c r="H235" t="s">
        <v>32</v>
      </c>
      <c r="I235">
        <v>417</v>
      </c>
      <c r="J235">
        <v>60</v>
      </c>
      <c r="K235">
        <v>25020</v>
      </c>
      <c r="L235">
        <v>1368.69</v>
      </c>
      <c r="M235">
        <v>6616.83</v>
      </c>
      <c r="N235" t="s">
        <v>24</v>
      </c>
    </row>
    <row r="236" spans="1:14" x14ac:dyDescent="0.3">
      <c r="A236">
        <v>9234</v>
      </c>
      <c r="B236" s="1">
        <v>45836</v>
      </c>
      <c r="C236">
        <v>2025</v>
      </c>
      <c r="D236" t="s">
        <v>46</v>
      </c>
      <c r="E236" t="s">
        <v>26</v>
      </c>
      <c r="F236" t="s">
        <v>53</v>
      </c>
      <c r="G236" t="s">
        <v>44</v>
      </c>
      <c r="H236" t="s">
        <v>50</v>
      </c>
      <c r="I236">
        <v>84</v>
      </c>
      <c r="J236">
        <v>150</v>
      </c>
      <c r="K236">
        <v>12600</v>
      </c>
      <c r="L236">
        <v>1100.68</v>
      </c>
      <c r="M236">
        <v>3903.42</v>
      </c>
      <c r="N236" t="s">
        <v>24</v>
      </c>
    </row>
    <row r="237" spans="1:14" x14ac:dyDescent="0.3">
      <c r="A237">
        <v>9235</v>
      </c>
      <c r="B237" s="1">
        <v>46008</v>
      </c>
      <c r="C237">
        <v>2025</v>
      </c>
      <c r="D237" t="s">
        <v>51</v>
      </c>
      <c r="E237" t="s">
        <v>30</v>
      </c>
      <c r="F237" t="s">
        <v>31</v>
      </c>
      <c r="G237" t="s">
        <v>44</v>
      </c>
      <c r="H237" t="s">
        <v>56</v>
      </c>
      <c r="I237">
        <v>122</v>
      </c>
      <c r="J237">
        <v>80</v>
      </c>
      <c r="K237">
        <v>9760</v>
      </c>
      <c r="L237">
        <v>909.2</v>
      </c>
      <c r="M237">
        <v>2566.91</v>
      </c>
      <c r="N237" t="s">
        <v>19</v>
      </c>
    </row>
    <row r="238" spans="1:14" x14ac:dyDescent="0.3">
      <c r="A238">
        <v>9236</v>
      </c>
      <c r="B238" s="1">
        <v>45796</v>
      </c>
      <c r="C238">
        <v>2025</v>
      </c>
      <c r="D238" t="s">
        <v>14</v>
      </c>
      <c r="E238" t="s">
        <v>30</v>
      </c>
      <c r="F238" t="s">
        <v>31</v>
      </c>
      <c r="G238" t="s">
        <v>22</v>
      </c>
      <c r="H238" t="s">
        <v>23</v>
      </c>
      <c r="I238">
        <v>326</v>
      </c>
      <c r="J238">
        <v>420</v>
      </c>
      <c r="K238">
        <v>136920</v>
      </c>
      <c r="L238">
        <v>7724.94</v>
      </c>
      <c r="M238">
        <v>34201.89</v>
      </c>
      <c r="N238" t="s">
        <v>19</v>
      </c>
    </row>
    <row r="239" spans="1:14" x14ac:dyDescent="0.3">
      <c r="A239">
        <v>9237</v>
      </c>
      <c r="B239" s="1">
        <v>46011</v>
      </c>
      <c r="C239">
        <v>2025</v>
      </c>
      <c r="D239" t="s">
        <v>51</v>
      </c>
      <c r="E239" t="s">
        <v>26</v>
      </c>
      <c r="F239" t="s">
        <v>34</v>
      </c>
      <c r="G239" t="s">
        <v>35</v>
      </c>
      <c r="H239" t="s">
        <v>36</v>
      </c>
      <c r="I239">
        <v>151</v>
      </c>
      <c r="J239">
        <v>35</v>
      </c>
      <c r="K239">
        <v>5285</v>
      </c>
      <c r="L239">
        <v>526.20000000000005</v>
      </c>
      <c r="M239">
        <v>1201.27</v>
      </c>
      <c r="N239" t="s">
        <v>24</v>
      </c>
    </row>
    <row r="240" spans="1:14" x14ac:dyDescent="0.3">
      <c r="A240">
        <v>9238</v>
      </c>
      <c r="B240" s="1">
        <v>45872</v>
      </c>
      <c r="C240">
        <v>2025</v>
      </c>
      <c r="D240" t="s">
        <v>20</v>
      </c>
      <c r="E240" t="s">
        <v>30</v>
      </c>
      <c r="F240" t="s">
        <v>43</v>
      </c>
      <c r="G240" t="s">
        <v>44</v>
      </c>
      <c r="H240" t="s">
        <v>56</v>
      </c>
      <c r="I240">
        <v>287</v>
      </c>
      <c r="J240">
        <v>80</v>
      </c>
      <c r="K240">
        <v>22960</v>
      </c>
      <c r="L240">
        <v>1628.07</v>
      </c>
      <c r="M240">
        <v>5062.1899999999996</v>
      </c>
      <c r="N240" t="s">
        <v>24</v>
      </c>
    </row>
    <row r="241" spans="1:14" x14ac:dyDescent="0.3">
      <c r="A241">
        <v>9239</v>
      </c>
      <c r="B241" s="1">
        <v>45896</v>
      </c>
      <c r="C241">
        <v>2025</v>
      </c>
      <c r="D241" t="s">
        <v>20</v>
      </c>
      <c r="E241" t="s">
        <v>26</v>
      </c>
      <c r="F241" t="s">
        <v>48</v>
      </c>
      <c r="G241" t="s">
        <v>44</v>
      </c>
      <c r="H241" t="s">
        <v>56</v>
      </c>
      <c r="I241">
        <v>251</v>
      </c>
      <c r="J241">
        <v>80</v>
      </c>
      <c r="K241">
        <v>20080</v>
      </c>
      <c r="L241">
        <v>1201.74</v>
      </c>
      <c r="M241">
        <v>6294.12</v>
      </c>
      <c r="N241" t="s">
        <v>24</v>
      </c>
    </row>
    <row r="242" spans="1:14" x14ac:dyDescent="0.3">
      <c r="A242">
        <v>9240</v>
      </c>
      <c r="B242" s="1">
        <v>45775</v>
      </c>
      <c r="C242">
        <v>2025</v>
      </c>
      <c r="D242" t="s">
        <v>49</v>
      </c>
      <c r="E242" t="s">
        <v>26</v>
      </c>
      <c r="F242" t="s">
        <v>53</v>
      </c>
      <c r="G242" t="s">
        <v>22</v>
      </c>
      <c r="H242" t="s">
        <v>32</v>
      </c>
      <c r="I242">
        <v>449</v>
      </c>
      <c r="J242">
        <v>60</v>
      </c>
      <c r="K242">
        <v>26940</v>
      </c>
      <c r="L242">
        <v>1907.1</v>
      </c>
      <c r="M242">
        <v>6247.3</v>
      </c>
      <c r="N242" t="s">
        <v>24</v>
      </c>
    </row>
    <row r="243" spans="1:14" x14ac:dyDescent="0.3">
      <c r="A243">
        <v>9241</v>
      </c>
      <c r="B243" s="1">
        <v>45759</v>
      </c>
      <c r="C243">
        <v>2025</v>
      </c>
      <c r="D243" t="s">
        <v>49</v>
      </c>
      <c r="E243" t="s">
        <v>15</v>
      </c>
      <c r="F243" t="s">
        <v>21</v>
      </c>
      <c r="G243" t="s">
        <v>44</v>
      </c>
      <c r="H243" t="s">
        <v>56</v>
      </c>
      <c r="I243">
        <v>19</v>
      </c>
      <c r="J243">
        <v>80</v>
      </c>
      <c r="K243">
        <v>1520</v>
      </c>
      <c r="L243">
        <v>105.43</v>
      </c>
      <c r="M243">
        <v>284.64</v>
      </c>
      <c r="N243" t="s">
        <v>24</v>
      </c>
    </row>
    <row r="244" spans="1:14" x14ac:dyDescent="0.3">
      <c r="A244">
        <v>9242</v>
      </c>
      <c r="B244" s="1">
        <v>45916</v>
      </c>
      <c r="C244">
        <v>2025</v>
      </c>
      <c r="D244" t="s">
        <v>37</v>
      </c>
      <c r="E244" t="s">
        <v>30</v>
      </c>
      <c r="F244" t="s">
        <v>31</v>
      </c>
      <c r="G244" t="s">
        <v>17</v>
      </c>
      <c r="H244" t="s">
        <v>18</v>
      </c>
      <c r="I244">
        <v>469</v>
      </c>
      <c r="J244">
        <v>350</v>
      </c>
      <c r="K244">
        <v>164150</v>
      </c>
      <c r="L244">
        <v>8934.44</v>
      </c>
      <c r="M244">
        <v>34600.26</v>
      </c>
      <c r="N244" t="s">
        <v>19</v>
      </c>
    </row>
    <row r="245" spans="1:14" x14ac:dyDescent="0.3">
      <c r="A245">
        <v>9243</v>
      </c>
      <c r="B245" s="1">
        <v>45963</v>
      </c>
      <c r="C245">
        <v>2025</v>
      </c>
      <c r="D245" t="s">
        <v>25</v>
      </c>
      <c r="E245" t="s">
        <v>26</v>
      </c>
      <c r="F245" t="s">
        <v>27</v>
      </c>
      <c r="G245" t="s">
        <v>17</v>
      </c>
      <c r="H245" t="s">
        <v>55</v>
      </c>
      <c r="I245">
        <v>273</v>
      </c>
      <c r="J245">
        <v>120</v>
      </c>
      <c r="K245">
        <v>32760</v>
      </c>
      <c r="L245">
        <v>3022.62</v>
      </c>
      <c r="M245">
        <v>5763.85</v>
      </c>
      <c r="N245" t="s">
        <v>24</v>
      </c>
    </row>
    <row r="246" spans="1:14" x14ac:dyDescent="0.3">
      <c r="A246">
        <v>9244</v>
      </c>
      <c r="B246" s="1">
        <v>45744</v>
      </c>
      <c r="C246">
        <v>2025</v>
      </c>
      <c r="D246" t="s">
        <v>40</v>
      </c>
      <c r="E246" t="s">
        <v>30</v>
      </c>
      <c r="F246" t="s">
        <v>31</v>
      </c>
      <c r="G246" t="s">
        <v>44</v>
      </c>
      <c r="H246" t="s">
        <v>45</v>
      </c>
      <c r="I246">
        <v>264</v>
      </c>
      <c r="J246">
        <v>55</v>
      </c>
      <c r="K246">
        <v>14520</v>
      </c>
      <c r="L246">
        <v>774.95</v>
      </c>
      <c r="M246">
        <v>3653.1</v>
      </c>
      <c r="N246" t="s">
        <v>24</v>
      </c>
    </row>
    <row r="247" spans="1:14" x14ac:dyDescent="0.3">
      <c r="A247">
        <v>9245</v>
      </c>
      <c r="B247" s="1">
        <v>45696</v>
      </c>
      <c r="C247">
        <v>2025</v>
      </c>
      <c r="D247" t="s">
        <v>42</v>
      </c>
      <c r="E247" t="s">
        <v>26</v>
      </c>
      <c r="F247" t="s">
        <v>53</v>
      </c>
      <c r="G247" t="s">
        <v>17</v>
      </c>
      <c r="H247" t="s">
        <v>18</v>
      </c>
      <c r="I247">
        <v>365</v>
      </c>
      <c r="J247">
        <v>350</v>
      </c>
      <c r="K247">
        <v>127750</v>
      </c>
      <c r="L247">
        <v>11574.92</v>
      </c>
      <c r="M247">
        <v>26921.93</v>
      </c>
      <c r="N247" t="s">
        <v>19</v>
      </c>
    </row>
    <row r="248" spans="1:14" x14ac:dyDescent="0.3">
      <c r="A248">
        <v>9246</v>
      </c>
      <c r="B248" s="1">
        <v>45988</v>
      </c>
      <c r="C248">
        <v>2025</v>
      </c>
      <c r="D248" t="s">
        <v>25</v>
      </c>
      <c r="E248" t="s">
        <v>26</v>
      </c>
      <c r="F248" t="s">
        <v>27</v>
      </c>
      <c r="G248" t="s">
        <v>44</v>
      </c>
      <c r="H248" t="s">
        <v>50</v>
      </c>
      <c r="I248">
        <v>219</v>
      </c>
      <c r="J248">
        <v>150</v>
      </c>
      <c r="K248">
        <v>32850</v>
      </c>
      <c r="L248">
        <v>1685.38</v>
      </c>
      <c r="M248">
        <v>7081.42</v>
      </c>
      <c r="N248" t="s">
        <v>19</v>
      </c>
    </row>
    <row r="249" spans="1:14" x14ac:dyDescent="0.3">
      <c r="A249">
        <v>9247</v>
      </c>
      <c r="B249" s="1">
        <v>45722</v>
      </c>
      <c r="C249">
        <v>2025</v>
      </c>
      <c r="D249" t="s">
        <v>40</v>
      </c>
      <c r="E249" t="s">
        <v>26</v>
      </c>
      <c r="F249" t="s">
        <v>27</v>
      </c>
      <c r="G249" t="s">
        <v>22</v>
      </c>
      <c r="H249" t="s">
        <v>39</v>
      </c>
      <c r="I249">
        <v>337</v>
      </c>
      <c r="J249">
        <v>25</v>
      </c>
      <c r="K249">
        <v>8425</v>
      </c>
      <c r="L249">
        <v>688.64</v>
      </c>
      <c r="M249">
        <v>1665.08</v>
      </c>
      <c r="N249" t="s">
        <v>24</v>
      </c>
    </row>
    <row r="250" spans="1:14" x14ac:dyDescent="0.3">
      <c r="A250">
        <v>9248</v>
      </c>
      <c r="B250" s="1">
        <v>45911</v>
      </c>
      <c r="C250">
        <v>2025</v>
      </c>
      <c r="D250" t="s">
        <v>37</v>
      </c>
      <c r="E250" t="s">
        <v>26</v>
      </c>
      <c r="F250" t="s">
        <v>53</v>
      </c>
      <c r="G250" t="s">
        <v>22</v>
      </c>
      <c r="H250" t="s">
        <v>47</v>
      </c>
      <c r="I250">
        <v>362</v>
      </c>
      <c r="J250">
        <v>45</v>
      </c>
      <c r="K250">
        <v>16290</v>
      </c>
      <c r="L250">
        <v>1121.48</v>
      </c>
      <c r="M250">
        <v>3060.23</v>
      </c>
      <c r="N250" t="s">
        <v>24</v>
      </c>
    </row>
    <row r="251" spans="1:14" x14ac:dyDescent="0.3">
      <c r="A251">
        <v>9249</v>
      </c>
      <c r="B251" s="1">
        <v>45751</v>
      </c>
      <c r="C251">
        <v>2025</v>
      </c>
      <c r="D251" t="s">
        <v>49</v>
      </c>
      <c r="E251" t="s">
        <v>26</v>
      </c>
      <c r="F251" t="s">
        <v>34</v>
      </c>
      <c r="G251" t="s">
        <v>17</v>
      </c>
      <c r="H251" t="s">
        <v>18</v>
      </c>
      <c r="I251">
        <v>224</v>
      </c>
      <c r="J251">
        <v>350</v>
      </c>
      <c r="K251">
        <v>78400</v>
      </c>
      <c r="L251">
        <v>7135.56</v>
      </c>
      <c r="M251">
        <v>17442</v>
      </c>
      <c r="N251" t="s">
        <v>24</v>
      </c>
    </row>
    <row r="252" spans="1:14" x14ac:dyDescent="0.3">
      <c r="A252">
        <v>9250</v>
      </c>
      <c r="B252" s="1">
        <v>45955</v>
      </c>
      <c r="C252">
        <v>2025</v>
      </c>
      <c r="D252" t="s">
        <v>33</v>
      </c>
      <c r="E252" t="s">
        <v>30</v>
      </c>
      <c r="F252" t="s">
        <v>31</v>
      </c>
      <c r="G252" t="s">
        <v>35</v>
      </c>
      <c r="H252" t="s">
        <v>41</v>
      </c>
      <c r="I252">
        <v>225</v>
      </c>
      <c r="J252">
        <v>140</v>
      </c>
      <c r="K252">
        <v>31500</v>
      </c>
      <c r="L252">
        <v>1894.27</v>
      </c>
      <c r="M252">
        <v>10661.15</v>
      </c>
      <c r="N252" t="s">
        <v>19</v>
      </c>
    </row>
    <row r="253" spans="1:14" x14ac:dyDescent="0.3">
      <c r="A253">
        <v>9251</v>
      </c>
      <c r="B253" s="1">
        <v>45767</v>
      </c>
      <c r="C253">
        <v>2025</v>
      </c>
      <c r="D253" t="s">
        <v>49</v>
      </c>
      <c r="E253" t="s">
        <v>26</v>
      </c>
      <c r="F253" t="s">
        <v>53</v>
      </c>
      <c r="G253" t="s">
        <v>35</v>
      </c>
      <c r="H253" t="s">
        <v>41</v>
      </c>
      <c r="I253">
        <v>327</v>
      </c>
      <c r="J253">
        <v>140</v>
      </c>
      <c r="K253">
        <v>45780</v>
      </c>
      <c r="L253">
        <v>3105.04</v>
      </c>
      <c r="M253">
        <v>12303.95</v>
      </c>
      <c r="N253" t="s">
        <v>24</v>
      </c>
    </row>
    <row r="254" spans="1:14" x14ac:dyDescent="0.3">
      <c r="A254">
        <v>9252</v>
      </c>
      <c r="B254" s="1">
        <v>45936</v>
      </c>
      <c r="C254">
        <v>2025</v>
      </c>
      <c r="D254" t="s">
        <v>33</v>
      </c>
      <c r="E254" t="s">
        <v>30</v>
      </c>
      <c r="F254" t="s">
        <v>31</v>
      </c>
      <c r="G254" t="s">
        <v>22</v>
      </c>
      <c r="H254" t="s">
        <v>47</v>
      </c>
      <c r="I254">
        <v>405</v>
      </c>
      <c r="J254">
        <v>45</v>
      </c>
      <c r="K254">
        <v>18225</v>
      </c>
      <c r="L254">
        <v>1512.07</v>
      </c>
      <c r="M254">
        <v>4467.58</v>
      </c>
      <c r="N254" t="s">
        <v>24</v>
      </c>
    </row>
    <row r="255" spans="1:14" x14ac:dyDescent="0.3">
      <c r="A255">
        <v>9253</v>
      </c>
      <c r="B255" s="1">
        <v>45975</v>
      </c>
      <c r="C255">
        <v>2025</v>
      </c>
      <c r="D255" t="s">
        <v>25</v>
      </c>
      <c r="E255" t="s">
        <v>30</v>
      </c>
      <c r="F255" t="s">
        <v>43</v>
      </c>
      <c r="G255" t="s">
        <v>44</v>
      </c>
      <c r="H255" t="s">
        <v>56</v>
      </c>
      <c r="I255">
        <v>244</v>
      </c>
      <c r="J255">
        <v>80</v>
      </c>
      <c r="K255">
        <v>19520</v>
      </c>
      <c r="L255">
        <v>1802.93</v>
      </c>
      <c r="M255">
        <v>4770.05</v>
      </c>
      <c r="N255" t="s">
        <v>19</v>
      </c>
    </row>
    <row r="256" spans="1:14" x14ac:dyDescent="0.3">
      <c r="A256">
        <v>9254</v>
      </c>
      <c r="B256" s="1">
        <v>45718</v>
      </c>
      <c r="C256">
        <v>2025</v>
      </c>
      <c r="D256" t="s">
        <v>40</v>
      </c>
      <c r="E256" t="s">
        <v>15</v>
      </c>
      <c r="F256" t="s">
        <v>16</v>
      </c>
      <c r="G256" t="s">
        <v>22</v>
      </c>
      <c r="H256" t="s">
        <v>28</v>
      </c>
      <c r="I256">
        <v>48</v>
      </c>
      <c r="J256">
        <v>50</v>
      </c>
      <c r="K256">
        <v>2400</v>
      </c>
      <c r="L256">
        <v>153.46</v>
      </c>
      <c r="M256">
        <v>644.80999999999995</v>
      </c>
      <c r="N256" t="s">
        <v>19</v>
      </c>
    </row>
    <row r="257" spans="1:14" x14ac:dyDescent="0.3">
      <c r="A257">
        <v>9255</v>
      </c>
      <c r="B257" s="1">
        <v>46002</v>
      </c>
      <c r="C257">
        <v>2025</v>
      </c>
      <c r="D257" t="s">
        <v>51</v>
      </c>
      <c r="E257" t="s">
        <v>26</v>
      </c>
      <c r="F257" t="s">
        <v>27</v>
      </c>
      <c r="G257" t="s">
        <v>22</v>
      </c>
      <c r="H257" t="s">
        <v>47</v>
      </c>
      <c r="I257">
        <v>157</v>
      </c>
      <c r="J257">
        <v>45</v>
      </c>
      <c r="K257">
        <v>7065</v>
      </c>
      <c r="L257">
        <v>424.38</v>
      </c>
      <c r="M257">
        <v>1524.06</v>
      </c>
      <c r="N257" t="s">
        <v>19</v>
      </c>
    </row>
    <row r="258" spans="1:14" x14ac:dyDescent="0.3">
      <c r="A258">
        <v>9256</v>
      </c>
      <c r="B258" s="1">
        <v>45917</v>
      </c>
      <c r="C258">
        <v>2025</v>
      </c>
      <c r="D258" t="s">
        <v>37</v>
      </c>
      <c r="E258" t="s">
        <v>30</v>
      </c>
      <c r="F258" t="s">
        <v>38</v>
      </c>
      <c r="G258" t="s">
        <v>22</v>
      </c>
      <c r="H258" t="s">
        <v>47</v>
      </c>
      <c r="I258">
        <v>499</v>
      </c>
      <c r="J258">
        <v>45</v>
      </c>
      <c r="K258">
        <v>22455</v>
      </c>
      <c r="L258">
        <v>1129.5999999999999</v>
      </c>
      <c r="M258">
        <v>7086.04</v>
      </c>
      <c r="N258" t="s">
        <v>24</v>
      </c>
    </row>
    <row r="259" spans="1:14" x14ac:dyDescent="0.3">
      <c r="A259">
        <v>9257</v>
      </c>
      <c r="B259" s="1">
        <v>45684</v>
      </c>
      <c r="C259">
        <v>2025</v>
      </c>
      <c r="D259" t="s">
        <v>29</v>
      </c>
      <c r="E259" t="s">
        <v>26</v>
      </c>
      <c r="F259" t="s">
        <v>48</v>
      </c>
      <c r="G259" t="s">
        <v>22</v>
      </c>
      <c r="H259" t="s">
        <v>47</v>
      </c>
      <c r="I259">
        <v>320</v>
      </c>
      <c r="J259">
        <v>45</v>
      </c>
      <c r="K259">
        <v>14400</v>
      </c>
      <c r="L259">
        <v>1323.16</v>
      </c>
      <c r="M259">
        <v>3060.83</v>
      </c>
      <c r="N259" t="s">
        <v>24</v>
      </c>
    </row>
    <row r="260" spans="1:14" x14ac:dyDescent="0.3">
      <c r="A260">
        <v>9258</v>
      </c>
      <c r="B260" s="1">
        <v>45822</v>
      </c>
      <c r="C260">
        <v>2025</v>
      </c>
      <c r="D260" t="s">
        <v>46</v>
      </c>
      <c r="E260" t="s">
        <v>30</v>
      </c>
      <c r="F260" t="s">
        <v>38</v>
      </c>
      <c r="G260" t="s">
        <v>22</v>
      </c>
      <c r="H260" t="s">
        <v>28</v>
      </c>
      <c r="I260">
        <v>465</v>
      </c>
      <c r="J260">
        <v>50</v>
      </c>
      <c r="K260">
        <v>23250</v>
      </c>
      <c r="L260">
        <v>2118.86</v>
      </c>
      <c r="M260">
        <v>5690.72</v>
      </c>
      <c r="N260" t="s">
        <v>19</v>
      </c>
    </row>
    <row r="261" spans="1:14" x14ac:dyDescent="0.3">
      <c r="A261">
        <v>9259</v>
      </c>
      <c r="B261" s="1">
        <v>45679</v>
      </c>
      <c r="C261">
        <v>2025</v>
      </c>
      <c r="D261" t="s">
        <v>29</v>
      </c>
      <c r="E261" t="s">
        <v>30</v>
      </c>
      <c r="F261" t="s">
        <v>38</v>
      </c>
      <c r="G261" t="s">
        <v>44</v>
      </c>
      <c r="H261" t="s">
        <v>56</v>
      </c>
      <c r="I261">
        <v>461</v>
      </c>
      <c r="J261">
        <v>80</v>
      </c>
      <c r="K261">
        <v>36880</v>
      </c>
      <c r="L261">
        <v>2780.3</v>
      </c>
      <c r="M261">
        <v>11783.43</v>
      </c>
      <c r="N261" t="s">
        <v>19</v>
      </c>
    </row>
    <row r="262" spans="1:14" x14ac:dyDescent="0.3">
      <c r="A262">
        <v>9260</v>
      </c>
      <c r="B262" s="1">
        <v>45951</v>
      </c>
      <c r="C262">
        <v>2025</v>
      </c>
      <c r="D262" t="s">
        <v>33</v>
      </c>
      <c r="E262" t="s">
        <v>26</v>
      </c>
      <c r="F262" t="s">
        <v>27</v>
      </c>
      <c r="G262" t="s">
        <v>22</v>
      </c>
      <c r="H262" t="s">
        <v>23</v>
      </c>
      <c r="I262">
        <v>47</v>
      </c>
      <c r="J262">
        <v>420</v>
      </c>
      <c r="K262">
        <v>19740</v>
      </c>
      <c r="L262">
        <v>1471.55</v>
      </c>
      <c r="M262">
        <v>3887.89</v>
      </c>
      <c r="N262" t="s">
        <v>19</v>
      </c>
    </row>
    <row r="263" spans="1:14" x14ac:dyDescent="0.3">
      <c r="A263">
        <v>9261</v>
      </c>
      <c r="B263" s="1">
        <v>45674</v>
      </c>
      <c r="C263">
        <v>2025</v>
      </c>
      <c r="D263" t="s">
        <v>29</v>
      </c>
      <c r="E263" t="s">
        <v>15</v>
      </c>
      <c r="F263" t="s">
        <v>21</v>
      </c>
      <c r="G263" t="s">
        <v>35</v>
      </c>
      <c r="H263" t="s">
        <v>41</v>
      </c>
      <c r="I263">
        <v>52</v>
      </c>
      <c r="J263">
        <v>140</v>
      </c>
      <c r="K263">
        <v>7280</v>
      </c>
      <c r="L263">
        <v>649.14</v>
      </c>
      <c r="M263">
        <v>1692.24</v>
      </c>
      <c r="N263" t="s">
        <v>19</v>
      </c>
    </row>
    <row r="264" spans="1:14" x14ac:dyDescent="0.3">
      <c r="A264">
        <v>9262</v>
      </c>
      <c r="B264" s="1">
        <v>45873</v>
      </c>
      <c r="C264">
        <v>2025</v>
      </c>
      <c r="D264" t="s">
        <v>20</v>
      </c>
      <c r="E264" t="s">
        <v>26</v>
      </c>
      <c r="F264" t="s">
        <v>27</v>
      </c>
      <c r="G264" t="s">
        <v>35</v>
      </c>
      <c r="H264" t="s">
        <v>36</v>
      </c>
      <c r="I264">
        <v>173</v>
      </c>
      <c r="J264">
        <v>35</v>
      </c>
      <c r="K264">
        <v>6055</v>
      </c>
      <c r="L264">
        <v>327.7</v>
      </c>
      <c r="M264">
        <v>1440.55</v>
      </c>
      <c r="N264" t="s">
        <v>19</v>
      </c>
    </row>
    <row r="265" spans="1:14" x14ac:dyDescent="0.3">
      <c r="A265">
        <v>9263</v>
      </c>
      <c r="B265" s="1">
        <v>45975</v>
      </c>
      <c r="C265">
        <v>2025</v>
      </c>
      <c r="D265" t="s">
        <v>25</v>
      </c>
      <c r="E265" t="s">
        <v>26</v>
      </c>
      <c r="F265" t="s">
        <v>34</v>
      </c>
      <c r="G265" t="s">
        <v>44</v>
      </c>
      <c r="H265" t="s">
        <v>56</v>
      </c>
      <c r="I265">
        <v>414</v>
      </c>
      <c r="J265">
        <v>80</v>
      </c>
      <c r="K265">
        <v>33120</v>
      </c>
      <c r="L265">
        <v>2514.4299999999998</v>
      </c>
      <c r="M265">
        <v>7726.91</v>
      </c>
      <c r="N265" t="s">
        <v>24</v>
      </c>
    </row>
    <row r="266" spans="1:14" x14ac:dyDescent="0.3">
      <c r="A266">
        <v>9264</v>
      </c>
      <c r="B266" s="1">
        <v>45983</v>
      </c>
      <c r="C266">
        <v>2025</v>
      </c>
      <c r="D266" t="s">
        <v>25</v>
      </c>
      <c r="E266" t="s">
        <v>30</v>
      </c>
      <c r="F266" t="s">
        <v>31</v>
      </c>
      <c r="G266" t="s">
        <v>35</v>
      </c>
      <c r="H266" t="s">
        <v>41</v>
      </c>
      <c r="I266">
        <v>401</v>
      </c>
      <c r="J266">
        <v>140</v>
      </c>
      <c r="K266">
        <v>56140</v>
      </c>
      <c r="L266">
        <v>5315.48</v>
      </c>
      <c r="M266">
        <v>14865.79</v>
      </c>
      <c r="N266" t="s">
        <v>24</v>
      </c>
    </row>
    <row r="267" spans="1:14" x14ac:dyDescent="0.3">
      <c r="A267">
        <v>9265</v>
      </c>
      <c r="B267" s="1">
        <v>45675</v>
      </c>
      <c r="C267">
        <v>2025</v>
      </c>
      <c r="D267" t="s">
        <v>29</v>
      </c>
      <c r="E267" t="s">
        <v>15</v>
      </c>
      <c r="F267" t="s">
        <v>21</v>
      </c>
      <c r="G267" t="s">
        <v>22</v>
      </c>
      <c r="H267" t="s">
        <v>39</v>
      </c>
      <c r="I267">
        <v>215</v>
      </c>
      <c r="J267">
        <v>25</v>
      </c>
      <c r="K267">
        <v>5375</v>
      </c>
      <c r="L267">
        <v>525.5</v>
      </c>
      <c r="M267">
        <v>1274.2</v>
      </c>
      <c r="N267" t="s">
        <v>24</v>
      </c>
    </row>
    <row r="268" spans="1:14" x14ac:dyDescent="0.3">
      <c r="A268">
        <v>9266</v>
      </c>
      <c r="B268" s="1">
        <v>45734</v>
      </c>
      <c r="C268">
        <v>2025</v>
      </c>
      <c r="D268" t="s">
        <v>40</v>
      </c>
      <c r="E268" t="s">
        <v>26</v>
      </c>
      <c r="F268" t="s">
        <v>53</v>
      </c>
      <c r="G268" t="s">
        <v>17</v>
      </c>
      <c r="H268" t="s">
        <v>55</v>
      </c>
      <c r="I268">
        <v>231</v>
      </c>
      <c r="J268">
        <v>120</v>
      </c>
      <c r="K268">
        <v>27720</v>
      </c>
      <c r="L268">
        <v>2170.2199999999998</v>
      </c>
      <c r="M268">
        <v>5174.3999999999996</v>
      </c>
      <c r="N268" t="s">
        <v>24</v>
      </c>
    </row>
    <row r="269" spans="1:14" x14ac:dyDescent="0.3">
      <c r="A269">
        <v>9267</v>
      </c>
      <c r="B269" s="1">
        <v>45850</v>
      </c>
      <c r="C269">
        <v>2025</v>
      </c>
      <c r="D269" t="s">
        <v>54</v>
      </c>
      <c r="E269" t="s">
        <v>15</v>
      </c>
      <c r="F269" t="s">
        <v>16</v>
      </c>
      <c r="G269" t="s">
        <v>22</v>
      </c>
      <c r="H269" t="s">
        <v>39</v>
      </c>
      <c r="I269">
        <v>111</v>
      </c>
      <c r="J269">
        <v>25</v>
      </c>
      <c r="K269">
        <v>2775</v>
      </c>
      <c r="L269">
        <v>250.04</v>
      </c>
      <c r="M269">
        <v>738.93</v>
      </c>
      <c r="N269" t="s">
        <v>19</v>
      </c>
    </row>
    <row r="270" spans="1:14" x14ac:dyDescent="0.3">
      <c r="A270">
        <v>9268</v>
      </c>
      <c r="B270" s="1">
        <v>45918</v>
      </c>
      <c r="C270">
        <v>2025</v>
      </c>
      <c r="D270" t="s">
        <v>37</v>
      </c>
      <c r="E270" t="s">
        <v>26</v>
      </c>
      <c r="F270" t="s">
        <v>27</v>
      </c>
      <c r="G270" t="s">
        <v>17</v>
      </c>
      <c r="H270" t="s">
        <v>55</v>
      </c>
      <c r="I270">
        <v>439</v>
      </c>
      <c r="J270">
        <v>120</v>
      </c>
      <c r="K270">
        <v>52680</v>
      </c>
      <c r="L270">
        <v>3650.49</v>
      </c>
      <c r="M270">
        <v>16762.73</v>
      </c>
      <c r="N270" t="s">
        <v>24</v>
      </c>
    </row>
    <row r="271" spans="1:14" x14ac:dyDescent="0.3">
      <c r="A271">
        <v>9269</v>
      </c>
      <c r="B271" s="1">
        <v>45987</v>
      </c>
      <c r="C271">
        <v>2025</v>
      </c>
      <c r="D271" t="s">
        <v>25</v>
      </c>
      <c r="E271" t="s">
        <v>26</v>
      </c>
      <c r="F271" t="s">
        <v>34</v>
      </c>
      <c r="G271" t="s">
        <v>17</v>
      </c>
      <c r="H271" t="s">
        <v>18</v>
      </c>
      <c r="I271">
        <v>267</v>
      </c>
      <c r="J271">
        <v>350</v>
      </c>
      <c r="K271">
        <v>93450</v>
      </c>
      <c r="L271">
        <v>6625.81</v>
      </c>
      <c r="M271">
        <v>29583.73</v>
      </c>
      <c r="N271" t="s">
        <v>19</v>
      </c>
    </row>
    <row r="272" spans="1:14" x14ac:dyDescent="0.3">
      <c r="A272">
        <v>9270</v>
      </c>
      <c r="B272" s="1">
        <v>45760</v>
      </c>
      <c r="C272">
        <v>2025</v>
      </c>
      <c r="D272" t="s">
        <v>49</v>
      </c>
      <c r="E272" t="s">
        <v>30</v>
      </c>
      <c r="F272" t="s">
        <v>31</v>
      </c>
      <c r="G272" t="s">
        <v>22</v>
      </c>
      <c r="H272" t="s">
        <v>39</v>
      </c>
      <c r="I272">
        <v>471</v>
      </c>
      <c r="J272">
        <v>25</v>
      </c>
      <c r="K272">
        <v>11775</v>
      </c>
      <c r="L272">
        <v>1048.08</v>
      </c>
      <c r="M272">
        <v>2625.67</v>
      </c>
      <c r="N272" t="s">
        <v>19</v>
      </c>
    </row>
    <row r="273" spans="1:14" x14ac:dyDescent="0.3">
      <c r="A273">
        <v>9271</v>
      </c>
      <c r="B273" s="1">
        <v>45697</v>
      </c>
      <c r="C273">
        <v>2025</v>
      </c>
      <c r="D273" t="s">
        <v>42</v>
      </c>
      <c r="E273" t="s">
        <v>30</v>
      </c>
      <c r="F273" t="s">
        <v>31</v>
      </c>
      <c r="G273" t="s">
        <v>44</v>
      </c>
      <c r="H273" t="s">
        <v>50</v>
      </c>
      <c r="I273">
        <v>251</v>
      </c>
      <c r="J273">
        <v>150</v>
      </c>
      <c r="K273">
        <v>37650</v>
      </c>
      <c r="L273">
        <v>3359.2</v>
      </c>
      <c r="M273">
        <v>6482.24</v>
      </c>
      <c r="N273" t="s">
        <v>19</v>
      </c>
    </row>
    <row r="274" spans="1:14" x14ac:dyDescent="0.3">
      <c r="A274">
        <v>9272</v>
      </c>
      <c r="B274" s="1">
        <v>45752</v>
      </c>
      <c r="C274">
        <v>2025</v>
      </c>
      <c r="D274" t="s">
        <v>49</v>
      </c>
      <c r="E274" t="s">
        <v>15</v>
      </c>
      <c r="F274" t="s">
        <v>21</v>
      </c>
      <c r="G274" t="s">
        <v>17</v>
      </c>
      <c r="H274" t="s">
        <v>52</v>
      </c>
      <c r="I274">
        <v>82</v>
      </c>
      <c r="J274">
        <v>300</v>
      </c>
      <c r="K274">
        <v>24600</v>
      </c>
      <c r="L274">
        <v>2297.98</v>
      </c>
      <c r="M274">
        <v>5408.71</v>
      </c>
      <c r="N274" t="s">
        <v>24</v>
      </c>
    </row>
    <row r="275" spans="1:14" x14ac:dyDescent="0.3">
      <c r="A275">
        <v>9273</v>
      </c>
      <c r="B275" s="1">
        <v>45937</v>
      </c>
      <c r="C275">
        <v>2025</v>
      </c>
      <c r="D275" t="s">
        <v>33</v>
      </c>
      <c r="E275" t="s">
        <v>26</v>
      </c>
      <c r="F275" t="s">
        <v>48</v>
      </c>
      <c r="G275" t="s">
        <v>35</v>
      </c>
      <c r="H275" t="s">
        <v>36</v>
      </c>
      <c r="I275">
        <v>379</v>
      </c>
      <c r="J275">
        <v>35</v>
      </c>
      <c r="K275">
        <v>13265</v>
      </c>
      <c r="L275">
        <v>941.93</v>
      </c>
      <c r="M275">
        <v>2761.74</v>
      </c>
      <c r="N275" t="s">
        <v>19</v>
      </c>
    </row>
    <row r="276" spans="1:14" x14ac:dyDescent="0.3">
      <c r="A276">
        <v>9274</v>
      </c>
      <c r="B276" s="1">
        <v>45849</v>
      </c>
      <c r="C276">
        <v>2025</v>
      </c>
      <c r="D276" t="s">
        <v>54</v>
      </c>
      <c r="E276" t="s">
        <v>15</v>
      </c>
      <c r="F276" t="s">
        <v>16</v>
      </c>
      <c r="G276" t="s">
        <v>22</v>
      </c>
      <c r="H276" t="s">
        <v>47</v>
      </c>
      <c r="I276">
        <v>359</v>
      </c>
      <c r="J276">
        <v>45</v>
      </c>
      <c r="K276">
        <v>16155</v>
      </c>
      <c r="L276">
        <v>1026.07</v>
      </c>
      <c r="M276">
        <v>4951.18</v>
      </c>
      <c r="N276" t="s">
        <v>24</v>
      </c>
    </row>
    <row r="277" spans="1:14" x14ac:dyDescent="0.3">
      <c r="A277">
        <v>9275</v>
      </c>
      <c r="B277" s="1">
        <v>45952</v>
      </c>
      <c r="C277">
        <v>2025</v>
      </c>
      <c r="D277" t="s">
        <v>33</v>
      </c>
      <c r="E277" t="s">
        <v>26</v>
      </c>
      <c r="F277" t="s">
        <v>34</v>
      </c>
      <c r="G277" t="s">
        <v>44</v>
      </c>
      <c r="H277" t="s">
        <v>50</v>
      </c>
      <c r="I277">
        <v>428</v>
      </c>
      <c r="J277">
        <v>150</v>
      </c>
      <c r="K277">
        <v>64200</v>
      </c>
      <c r="L277">
        <v>6328.62</v>
      </c>
      <c r="M277">
        <v>16544.189999999999</v>
      </c>
      <c r="N277" t="s">
        <v>24</v>
      </c>
    </row>
    <row r="278" spans="1:14" x14ac:dyDescent="0.3">
      <c r="A278">
        <v>9276</v>
      </c>
      <c r="B278" s="1">
        <v>45847</v>
      </c>
      <c r="C278">
        <v>2025</v>
      </c>
      <c r="D278" t="s">
        <v>54</v>
      </c>
      <c r="E278" t="s">
        <v>26</v>
      </c>
      <c r="F278" t="s">
        <v>53</v>
      </c>
      <c r="G278" t="s">
        <v>35</v>
      </c>
      <c r="H278" t="s">
        <v>41</v>
      </c>
      <c r="I278">
        <v>196</v>
      </c>
      <c r="J278">
        <v>140</v>
      </c>
      <c r="K278">
        <v>27440</v>
      </c>
      <c r="L278">
        <v>1621.15</v>
      </c>
      <c r="M278">
        <v>6615.87</v>
      </c>
      <c r="N278" t="s">
        <v>24</v>
      </c>
    </row>
    <row r="279" spans="1:14" x14ac:dyDescent="0.3">
      <c r="A279">
        <v>9277</v>
      </c>
      <c r="B279" s="1">
        <v>45704</v>
      </c>
      <c r="C279">
        <v>2025</v>
      </c>
      <c r="D279" t="s">
        <v>42</v>
      </c>
      <c r="E279" t="s">
        <v>15</v>
      </c>
      <c r="F279" t="s">
        <v>21</v>
      </c>
      <c r="G279" t="s">
        <v>17</v>
      </c>
      <c r="H279" t="s">
        <v>18</v>
      </c>
      <c r="I279">
        <v>311</v>
      </c>
      <c r="J279">
        <v>350</v>
      </c>
      <c r="K279">
        <v>108850</v>
      </c>
      <c r="L279">
        <v>7195.89</v>
      </c>
      <c r="M279">
        <v>30867.53</v>
      </c>
      <c r="N279" t="s">
        <v>19</v>
      </c>
    </row>
    <row r="280" spans="1:14" x14ac:dyDescent="0.3">
      <c r="A280">
        <v>9278</v>
      </c>
      <c r="B280" s="1">
        <v>45847</v>
      </c>
      <c r="C280">
        <v>2025</v>
      </c>
      <c r="D280" t="s">
        <v>54</v>
      </c>
      <c r="E280" t="s">
        <v>30</v>
      </c>
      <c r="F280" t="s">
        <v>31</v>
      </c>
      <c r="G280" t="s">
        <v>22</v>
      </c>
      <c r="H280" t="s">
        <v>32</v>
      </c>
      <c r="I280">
        <v>336</v>
      </c>
      <c r="J280">
        <v>60</v>
      </c>
      <c r="K280">
        <v>20160</v>
      </c>
      <c r="L280">
        <v>1712.44</v>
      </c>
      <c r="M280">
        <v>4147.96</v>
      </c>
      <c r="N280" t="s">
        <v>19</v>
      </c>
    </row>
    <row r="281" spans="1:14" x14ac:dyDescent="0.3">
      <c r="A281">
        <v>9279</v>
      </c>
      <c r="B281" s="1">
        <v>45824</v>
      </c>
      <c r="C281">
        <v>2025</v>
      </c>
      <c r="D281" t="s">
        <v>46</v>
      </c>
      <c r="E281" t="s">
        <v>30</v>
      </c>
      <c r="F281" t="s">
        <v>38</v>
      </c>
      <c r="G281" t="s">
        <v>44</v>
      </c>
      <c r="H281" t="s">
        <v>56</v>
      </c>
      <c r="I281">
        <v>408</v>
      </c>
      <c r="J281">
        <v>80</v>
      </c>
      <c r="K281">
        <v>32640</v>
      </c>
      <c r="L281">
        <v>1767.46</v>
      </c>
      <c r="M281">
        <v>8346.19</v>
      </c>
      <c r="N281" t="s">
        <v>19</v>
      </c>
    </row>
    <row r="282" spans="1:14" x14ac:dyDescent="0.3">
      <c r="A282">
        <v>9280</v>
      </c>
      <c r="B282" s="1">
        <v>46022</v>
      </c>
      <c r="C282">
        <v>2025</v>
      </c>
      <c r="D282" t="s">
        <v>51</v>
      </c>
      <c r="E282" t="s">
        <v>26</v>
      </c>
      <c r="F282" t="s">
        <v>48</v>
      </c>
      <c r="G282" t="s">
        <v>22</v>
      </c>
      <c r="H282" t="s">
        <v>32</v>
      </c>
      <c r="I282">
        <v>134</v>
      </c>
      <c r="J282">
        <v>60</v>
      </c>
      <c r="K282">
        <v>8040</v>
      </c>
      <c r="L282">
        <v>735.08</v>
      </c>
      <c r="M282">
        <v>1284.47</v>
      </c>
      <c r="N282" t="s">
        <v>24</v>
      </c>
    </row>
    <row r="283" spans="1:14" x14ac:dyDescent="0.3">
      <c r="A283">
        <v>9281</v>
      </c>
      <c r="B283" s="1">
        <v>45739</v>
      </c>
      <c r="C283">
        <v>2025</v>
      </c>
      <c r="D283" t="s">
        <v>40</v>
      </c>
      <c r="E283" t="s">
        <v>15</v>
      </c>
      <c r="F283" t="s">
        <v>16</v>
      </c>
      <c r="G283" t="s">
        <v>17</v>
      </c>
      <c r="H283" t="s">
        <v>18</v>
      </c>
      <c r="I283">
        <v>217</v>
      </c>
      <c r="J283">
        <v>350</v>
      </c>
      <c r="K283">
        <v>75950</v>
      </c>
      <c r="L283">
        <v>7349.05</v>
      </c>
      <c r="M283">
        <v>20870.349999999999</v>
      </c>
      <c r="N283" t="s">
        <v>24</v>
      </c>
    </row>
    <row r="284" spans="1:14" x14ac:dyDescent="0.3">
      <c r="A284">
        <v>9282</v>
      </c>
      <c r="B284" s="1">
        <v>45699</v>
      </c>
      <c r="C284">
        <v>2025</v>
      </c>
      <c r="D284" t="s">
        <v>42</v>
      </c>
      <c r="E284" t="s">
        <v>30</v>
      </c>
      <c r="F284" t="s">
        <v>31</v>
      </c>
      <c r="G284" t="s">
        <v>17</v>
      </c>
      <c r="H284" t="s">
        <v>52</v>
      </c>
      <c r="I284">
        <v>429</v>
      </c>
      <c r="J284">
        <v>300</v>
      </c>
      <c r="K284">
        <v>128700</v>
      </c>
      <c r="L284">
        <v>10077.6</v>
      </c>
      <c r="M284">
        <v>30245.33</v>
      </c>
      <c r="N284" t="s">
        <v>24</v>
      </c>
    </row>
    <row r="285" spans="1:14" x14ac:dyDescent="0.3">
      <c r="A285">
        <v>9283</v>
      </c>
      <c r="B285" s="1">
        <v>45841</v>
      </c>
      <c r="C285">
        <v>2025</v>
      </c>
      <c r="D285" t="s">
        <v>54</v>
      </c>
      <c r="E285" t="s">
        <v>26</v>
      </c>
      <c r="F285" t="s">
        <v>34</v>
      </c>
      <c r="G285" t="s">
        <v>44</v>
      </c>
      <c r="H285" t="s">
        <v>50</v>
      </c>
      <c r="I285">
        <v>361</v>
      </c>
      <c r="J285">
        <v>150</v>
      </c>
      <c r="K285">
        <v>54150</v>
      </c>
      <c r="L285">
        <v>4827.4399999999996</v>
      </c>
      <c r="M285">
        <v>10269.370000000001</v>
      </c>
      <c r="N285" t="s">
        <v>19</v>
      </c>
    </row>
    <row r="286" spans="1:14" x14ac:dyDescent="0.3">
      <c r="A286">
        <v>9284</v>
      </c>
      <c r="B286" s="1">
        <v>45817</v>
      </c>
      <c r="C286">
        <v>2025</v>
      </c>
      <c r="D286" t="s">
        <v>46</v>
      </c>
      <c r="E286" t="s">
        <v>30</v>
      </c>
      <c r="F286" t="s">
        <v>31</v>
      </c>
      <c r="G286" t="s">
        <v>44</v>
      </c>
      <c r="H286" t="s">
        <v>45</v>
      </c>
      <c r="I286">
        <v>317</v>
      </c>
      <c r="J286">
        <v>55</v>
      </c>
      <c r="K286">
        <v>17435</v>
      </c>
      <c r="L286">
        <v>1005.87</v>
      </c>
      <c r="M286">
        <v>4697.6000000000004</v>
      </c>
      <c r="N286" t="s">
        <v>24</v>
      </c>
    </row>
    <row r="287" spans="1:14" x14ac:dyDescent="0.3">
      <c r="A287">
        <v>9285</v>
      </c>
      <c r="B287" s="1">
        <v>45731</v>
      </c>
      <c r="C287">
        <v>2025</v>
      </c>
      <c r="D287" t="s">
        <v>40</v>
      </c>
      <c r="E287" t="s">
        <v>30</v>
      </c>
      <c r="F287" t="s">
        <v>31</v>
      </c>
      <c r="G287" t="s">
        <v>17</v>
      </c>
      <c r="H287" t="s">
        <v>52</v>
      </c>
      <c r="I287">
        <v>332</v>
      </c>
      <c r="J287">
        <v>300</v>
      </c>
      <c r="K287">
        <v>99600</v>
      </c>
      <c r="L287">
        <v>5996.34</v>
      </c>
      <c r="M287">
        <v>20296.09</v>
      </c>
      <c r="N287" t="s">
        <v>19</v>
      </c>
    </row>
    <row r="288" spans="1:14" x14ac:dyDescent="0.3">
      <c r="A288">
        <v>9286</v>
      </c>
      <c r="B288" s="1">
        <v>45868</v>
      </c>
      <c r="C288">
        <v>2025</v>
      </c>
      <c r="D288" t="s">
        <v>54</v>
      </c>
      <c r="E288" t="s">
        <v>15</v>
      </c>
      <c r="F288" t="s">
        <v>16</v>
      </c>
      <c r="G288" t="s">
        <v>22</v>
      </c>
      <c r="H288" t="s">
        <v>47</v>
      </c>
      <c r="I288">
        <v>73</v>
      </c>
      <c r="J288">
        <v>45</v>
      </c>
      <c r="K288">
        <v>3285</v>
      </c>
      <c r="L288">
        <v>317.93</v>
      </c>
      <c r="M288">
        <v>935.15</v>
      </c>
      <c r="N288" t="s">
        <v>24</v>
      </c>
    </row>
    <row r="289" spans="1:14" x14ac:dyDescent="0.3">
      <c r="A289">
        <v>9287</v>
      </c>
      <c r="B289" s="1">
        <v>45683</v>
      </c>
      <c r="C289">
        <v>2025</v>
      </c>
      <c r="D289" t="s">
        <v>29</v>
      </c>
      <c r="E289" t="s">
        <v>26</v>
      </c>
      <c r="F289" t="s">
        <v>27</v>
      </c>
      <c r="G289" t="s">
        <v>22</v>
      </c>
      <c r="H289" t="s">
        <v>47</v>
      </c>
      <c r="I289">
        <v>101</v>
      </c>
      <c r="J289">
        <v>45</v>
      </c>
      <c r="K289">
        <v>4545</v>
      </c>
      <c r="L289">
        <v>322.39999999999998</v>
      </c>
      <c r="M289">
        <v>829.26</v>
      </c>
      <c r="N289" t="s">
        <v>24</v>
      </c>
    </row>
    <row r="290" spans="1:14" x14ac:dyDescent="0.3">
      <c r="A290">
        <v>9288</v>
      </c>
      <c r="B290" s="1">
        <v>45852</v>
      </c>
      <c r="C290">
        <v>2025</v>
      </c>
      <c r="D290" t="s">
        <v>54</v>
      </c>
      <c r="E290" t="s">
        <v>30</v>
      </c>
      <c r="F290" t="s">
        <v>31</v>
      </c>
      <c r="G290" t="s">
        <v>22</v>
      </c>
      <c r="H290" t="s">
        <v>23</v>
      </c>
      <c r="I290">
        <v>210</v>
      </c>
      <c r="J290">
        <v>420</v>
      </c>
      <c r="K290">
        <v>88200</v>
      </c>
      <c r="L290">
        <v>5624.24</v>
      </c>
      <c r="M290">
        <v>20924.57</v>
      </c>
      <c r="N290" t="s">
        <v>19</v>
      </c>
    </row>
    <row r="291" spans="1:14" x14ac:dyDescent="0.3">
      <c r="A291">
        <v>9289</v>
      </c>
      <c r="B291" s="1">
        <v>45762</v>
      </c>
      <c r="C291">
        <v>2025</v>
      </c>
      <c r="D291" t="s">
        <v>49</v>
      </c>
      <c r="E291" t="s">
        <v>15</v>
      </c>
      <c r="F291" t="s">
        <v>16</v>
      </c>
      <c r="G291" t="s">
        <v>17</v>
      </c>
      <c r="H291" t="s">
        <v>18</v>
      </c>
      <c r="I291">
        <v>344</v>
      </c>
      <c r="J291">
        <v>350</v>
      </c>
      <c r="K291">
        <v>120400</v>
      </c>
      <c r="L291">
        <v>8293.26</v>
      </c>
      <c r="M291">
        <v>29585.61</v>
      </c>
      <c r="N291" t="s">
        <v>24</v>
      </c>
    </row>
    <row r="292" spans="1:14" x14ac:dyDescent="0.3">
      <c r="A292">
        <v>9290</v>
      </c>
      <c r="B292" s="1">
        <v>45775</v>
      </c>
      <c r="C292">
        <v>2025</v>
      </c>
      <c r="D292" t="s">
        <v>49</v>
      </c>
      <c r="E292" t="s">
        <v>15</v>
      </c>
      <c r="F292" t="s">
        <v>16</v>
      </c>
      <c r="G292" t="s">
        <v>44</v>
      </c>
      <c r="H292" t="s">
        <v>45</v>
      </c>
      <c r="I292">
        <v>228</v>
      </c>
      <c r="J292">
        <v>55</v>
      </c>
      <c r="K292">
        <v>12540</v>
      </c>
      <c r="L292">
        <v>855.42</v>
      </c>
      <c r="M292">
        <v>3295.97</v>
      </c>
      <c r="N292" t="s">
        <v>19</v>
      </c>
    </row>
    <row r="293" spans="1:14" x14ac:dyDescent="0.3">
      <c r="A293">
        <v>9291</v>
      </c>
      <c r="B293" s="1">
        <v>45671</v>
      </c>
      <c r="C293">
        <v>2025</v>
      </c>
      <c r="D293" t="s">
        <v>29</v>
      </c>
      <c r="E293" t="s">
        <v>15</v>
      </c>
      <c r="F293" t="s">
        <v>16</v>
      </c>
      <c r="G293" t="s">
        <v>22</v>
      </c>
      <c r="H293" t="s">
        <v>39</v>
      </c>
      <c r="I293">
        <v>12</v>
      </c>
      <c r="J293">
        <v>25</v>
      </c>
      <c r="K293">
        <v>300</v>
      </c>
      <c r="L293">
        <v>29.75</v>
      </c>
      <c r="M293">
        <v>54.29</v>
      </c>
      <c r="N293" t="s">
        <v>19</v>
      </c>
    </row>
    <row r="294" spans="1:14" x14ac:dyDescent="0.3">
      <c r="A294">
        <v>9292</v>
      </c>
      <c r="B294" s="1">
        <v>45770</v>
      </c>
      <c r="C294">
        <v>2025</v>
      </c>
      <c r="D294" t="s">
        <v>49</v>
      </c>
      <c r="E294" t="s">
        <v>30</v>
      </c>
      <c r="F294" t="s">
        <v>43</v>
      </c>
      <c r="G294" t="s">
        <v>22</v>
      </c>
      <c r="H294" t="s">
        <v>47</v>
      </c>
      <c r="I294">
        <v>232</v>
      </c>
      <c r="J294">
        <v>45</v>
      </c>
      <c r="K294">
        <v>10440</v>
      </c>
      <c r="L294">
        <v>608.84</v>
      </c>
      <c r="M294">
        <v>2983.8</v>
      </c>
      <c r="N294" t="s">
        <v>24</v>
      </c>
    </row>
    <row r="295" spans="1:14" x14ac:dyDescent="0.3">
      <c r="A295">
        <v>9293</v>
      </c>
      <c r="B295" s="1">
        <v>45802</v>
      </c>
      <c r="C295">
        <v>2025</v>
      </c>
      <c r="D295" t="s">
        <v>14</v>
      </c>
      <c r="E295" t="s">
        <v>30</v>
      </c>
      <c r="F295" t="s">
        <v>31</v>
      </c>
      <c r="G295" t="s">
        <v>17</v>
      </c>
      <c r="H295" t="s">
        <v>18</v>
      </c>
      <c r="I295">
        <v>407</v>
      </c>
      <c r="J295">
        <v>350</v>
      </c>
      <c r="K295">
        <v>142450</v>
      </c>
      <c r="L295">
        <v>11381.04</v>
      </c>
      <c r="M295">
        <v>35401.379999999997</v>
      </c>
      <c r="N295" t="s">
        <v>24</v>
      </c>
    </row>
    <row r="296" spans="1:14" x14ac:dyDescent="0.3">
      <c r="A296">
        <v>9294</v>
      </c>
      <c r="B296" s="1">
        <v>45875</v>
      </c>
      <c r="C296">
        <v>2025</v>
      </c>
      <c r="D296" t="s">
        <v>20</v>
      </c>
      <c r="E296" t="s">
        <v>26</v>
      </c>
      <c r="F296" t="s">
        <v>48</v>
      </c>
      <c r="G296" t="s">
        <v>22</v>
      </c>
      <c r="H296" t="s">
        <v>47</v>
      </c>
      <c r="I296">
        <v>314</v>
      </c>
      <c r="J296">
        <v>45</v>
      </c>
      <c r="K296">
        <v>14130</v>
      </c>
      <c r="L296">
        <v>846.69</v>
      </c>
      <c r="M296">
        <v>4151.76</v>
      </c>
      <c r="N296" t="s">
        <v>24</v>
      </c>
    </row>
    <row r="297" spans="1:14" x14ac:dyDescent="0.3">
      <c r="A297">
        <v>9295</v>
      </c>
      <c r="B297" s="1">
        <v>45908</v>
      </c>
      <c r="C297">
        <v>2025</v>
      </c>
      <c r="D297" t="s">
        <v>37</v>
      </c>
      <c r="E297" t="s">
        <v>30</v>
      </c>
      <c r="F297" t="s">
        <v>43</v>
      </c>
      <c r="G297" t="s">
        <v>17</v>
      </c>
      <c r="H297" t="s">
        <v>55</v>
      </c>
      <c r="I297">
        <v>323</v>
      </c>
      <c r="J297">
        <v>120</v>
      </c>
      <c r="K297">
        <v>38760</v>
      </c>
      <c r="L297">
        <v>3742.63</v>
      </c>
      <c r="M297">
        <v>9573.5499999999993</v>
      </c>
      <c r="N297" t="s">
        <v>24</v>
      </c>
    </row>
    <row r="298" spans="1:14" x14ac:dyDescent="0.3">
      <c r="A298">
        <v>9296</v>
      </c>
      <c r="B298" s="1">
        <v>45665</v>
      </c>
      <c r="C298">
        <v>2025</v>
      </c>
      <c r="D298" t="s">
        <v>29</v>
      </c>
      <c r="E298" t="s">
        <v>26</v>
      </c>
      <c r="F298" t="s">
        <v>53</v>
      </c>
      <c r="G298" t="s">
        <v>17</v>
      </c>
      <c r="H298" t="s">
        <v>18</v>
      </c>
      <c r="I298">
        <v>497</v>
      </c>
      <c r="J298">
        <v>350</v>
      </c>
      <c r="K298">
        <v>173950</v>
      </c>
      <c r="L298">
        <v>13625.44</v>
      </c>
      <c r="M298">
        <v>44613.93</v>
      </c>
      <c r="N298" t="s">
        <v>24</v>
      </c>
    </row>
    <row r="299" spans="1:14" x14ac:dyDescent="0.3">
      <c r="A299">
        <v>9297</v>
      </c>
      <c r="B299" s="1">
        <v>45927</v>
      </c>
      <c r="C299">
        <v>2025</v>
      </c>
      <c r="D299" t="s">
        <v>37</v>
      </c>
      <c r="E299" t="s">
        <v>26</v>
      </c>
      <c r="F299" t="s">
        <v>34</v>
      </c>
      <c r="G299" t="s">
        <v>22</v>
      </c>
      <c r="H299" t="s">
        <v>39</v>
      </c>
      <c r="I299">
        <v>330</v>
      </c>
      <c r="J299">
        <v>25</v>
      </c>
      <c r="K299">
        <v>8250</v>
      </c>
      <c r="L299">
        <v>778.97</v>
      </c>
      <c r="M299">
        <v>2296.9</v>
      </c>
      <c r="N299" t="s">
        <v>19</v>
      </c>
    </row>
    <row r="300" spans="1:14" x14ac:dyDescent="0.3">
      <c r="A300">
        <v>9298</v>
      </c>
      <c r="B300" s="1">
        <v>45738</v>
      </c>
      <c r="C300">
        <v>2025</v>
      </c>
      <c r="D300" t="s">
        <v>40</v>
      </c>
      <c r="E300" t="s">
        <v>30</v>
      </c>
      <c r="F300" t="s">
        <v>31</v>
      </c>
      <c r="G300" t="s">
        <v>22</v>
      </c>
      <c r="H300" t="s">
        <v>32</v>
      </c>
      <c r="I300">
        <v>323</v>
      </c>
      <c r="J300">
        <v>60</v>
      </c>
      <c r="K300">
        <v>19380</v>
      </c>
      <c r="L300">
        <v>1102.8</v>
      </c>
      <c r="M300">
        <v>4615.7</v>
      </c>
      <c r="N300" t="s">
        <v>24</v>
      </c>
    </row>
    <row r="301" spans="1:14" x14ac:dyDescent="0.3">
      <c r="A301">
        <v>9299</v>
      </c>
      <c r="B301" s="1">
        <v>45917</v>
      </c>
      <c r="C301">
        <v>2025</v>
      </c>
      <c r="D301" t="s">
        <v>37</v>
      </c>
      <c r="E301" t="s">
        <v>26</v>
      </c>
      <c r="F301" t="s">
        <v>53</v>
      </c>
      <c r="G301" t="s">
        <v>22</v>
      </c>
      <c r="H301" t="s">
        <v>23</v>
      </c>
      <c r="I301">
        <v>8</v>
      </c>
      <c r="J301">
        <v>420</v>
      </c>
      <c r="K301">
        <v>3360</v>
      </c>
      <c r="L301">
        <v>191.94</v>
      </c>
      <c r="M301">
        <v>1151.6600000000001</v>
      </c>
      <c r="N301" t="s">
        <v>24</v>
      </c>
    </row>
    <row r="302" spans="1:14" x14ac:dyDescent="0.3">
      <c r="A302">
        <v>9300</v>
      </c>
      <c r="B302" s="1">
        <v>45852</v>
      </c>
      <c r="C302">
        <v>2025</v>
      </c>
      <c r="D302" t="s">
        <v>54</v>
      </c>
      <c r="E302" t="s">
        <v>26</v>
      </c>
      <c r="F302" t="s">
        <v>53</v>
      </c>
      <c r="G302" t="s">
        <v>17</v>
      </c>
      <c r="H302" t="s">
        <v>55</v>
      </c>
      <c r="I302">
        <v>61</v>
      </c>
      <c r="J302">
        <v>120</v>
      </c>
      <c r="K302">
        <v>7320</v>
      </c>
      <c r="L302">
        <v>714.73</v>
      </c>
      <c r="M302">
        <v>1116.6199999999999</v>
      </c>
      <c r="N302" t="s">
        <v>24</v>
      </c>
    </row>
    <row r="303" spans="1:14" x14ac:dyDescent="0.3">
      <c r="A303">
        <v>9301</v>
      </c>
      <c r="B303" s="1">
        <v>45697</v>
      </c>
      <c r="C303">
        <v>2025</v>
      </c>
      <c r="D303" t="s">
        <v>42</v>
      </c>
      <c r="E303" t="s">
        <v>26</v>
      </c>
      <c r="F303" t="s">
        <v>27</v>
      </c>
      <c r="G303" t="s">
        <v>22</v>
      </c>
      <c r="H303" t="s">
        <v>47</v>
      </c>
      <c r="I303">
        <v>104</v>
      </c>
      <c r="J303">
        <v>45</v>
      </c>
      <c r="K303">
        <v>4680</v>
      </c>
      <c r="L303">
        <v>449.39</v>
      </c>
      <c r="M303">
        <v>1415.62</v>
      </c>
      <c r="N303" t="s">
        <v>19</v>
      </c>
    </row>
    <row r="304" spans="1:14" x14ac:dyDescent="0.3">
      <c r="A304">
        <v>9302</v>
      </c>
      <c r="B304" s="1">
        <v>45907</v>
      </c>
      <c r="C304">
        <v>2025</v>
      </c>
      <c r="D304" t="s">
        <v>37</v>
      </c>
      <c r="E304" t="s">
        <v>15</v>
      </c>
      <c r="F304" t="s">
        <v>21</v>
      </c>
      <c r="G304" t="s">
        <v>17</v>
      </c>
      <c r="H304" t="s">
        <v>55</v>
      </c>
      <c r="I304">
        <v>327</v>
      </c>
      <c r="J304">
        <v>120</v>
      </c>
      <c r="K304">
        <v>39240</v>
      </c>
      <c r="L304">
        <v>3904.87</v>
      </c>
      <c r="M304">
        <v>7186.94</v>
      </c>
      <c r="N304" t="s">
        <v>24</v>
      </c>
    </row>
    <row r="305" spans="1:14" x14ac:dyDescent="0.3">
      <c r="A305">
        <v>9303</v>
      </c>
      <c r="B305" s="1">
        <v>45942</v>
      </c>
      <c r="C305">
        <v>2025</v>
      </c>
      <c r="D305" t="s">
        <v>33</v>
      </c>
      <c r="E305" t="s">
        <v>30</v>
      </c>
      <c r="F305" t="s">
        <v>31</v>
      </c>
      <c r="G305" t="s">
        <v>17</v>
      </c>
      <c r="H305" t="s">
        <v>18</v>
      </c>
      <c r="I305">
        <v>289</v>
      </c>
      <c r="J305">
        <v>350</v>
      </c>
      <c r="K305">
        <v>101150</v>
      </c>
      <c r="L305">
        <v>7583.22</v>
      </c>
      <c r="M305">
        <v>20518.97</v>
      </c>
      <c r="N305" t="s">
        <v>24</v>
      </c>
    </row>
    <row r="306" spans="1:14" x14ac:dyDescent="0.3">
      <c r="A306">
        <v>9304</v>
      </c>
      <c r="B306" s="1">
        <v>45676</v>
      </c>
      <c r="C306">
        <v>2025</v>
      </c>
      <c r="D306" t="s">
        <v>29</v>
      </c>
      <c r="E306" t="s">
        <v>26</v>
      </c>
      <c r="F306" t="s">
        <v>48</v>
      </c>
      <c r="G306" t="s">
        <v>35</v>
      </c>
      <c r="H306" t="s">
        <v>36</v>
      </c>
      <c r="I306">
        <v>62</v>
      </c>
      <c r="J306">
        <v>35</v>
      </c>
      <c r="K306">
        <v>2170</v>
      </c>
      <c r="L306">
        <v>170.77</v>
      </c>
      <c r="M306">
        <v>647.80999999999995</v>
      </c>
      <c r="N306" t="s">
        <v>19</v>
      </c>
    </row>
    <row r="307" spans="1:14" x14ac:dyDescent="0.3">
      <c r="A307">
        <v>9305</v>
      </c>
      <c r="B307" s="1">
        <v>45710</v>
      </c>
      <c r="C307">
        <v>2025</v>
      </c>
      <c r="D307" t="s">
        <v>42</v>
      </c>
      <c r="E307" t="s">
        <v>26</v>
      </c>
      <c r="F307" t="s">
        <v>34</v>
      </c>
      <c r="G307" t="s">
        <v>22</v>
      </c>
      <c r="H307" t="s">
        <v>39</v>
      </c>
      <c r="I307">
        <v>75</v>
      </c>
      <c r="J307">
        <v>25</v>
      </c>
      <c r="K307">
        <v>1875</v>
      </c>
      <c r="L307">
        <v>162.69</v>
      </c>
      <c r="M307">
        <v>569.55999999999995</v>
      </c>
      <c r="N307" t="s">
        <v>24</v>
      </c>
    </row>
    <row r="308" spans="1:14" x14ac:dyDescent="0.3">
      <c r="A308">
        <v>9306</v>
      </c>
      <c r="B308" s="1">
        <v>45959</v>
      </c>
      <c r="C308">
        <v>2025</v>
      </c>
      <c r="D308" t="s">
        <v>33</v>
      </c>
      <c r="E308" t="s">
        <v>30</v>
      </c>
      <c r="F308" t="s">
        <v>43</v>
      </c>
      <c r="G308" t="s">
        <v>35</v>
      </c>
      <c r="H308" t="s">
        <v>41</v>
      </c>
      <c r="I308">
        <v>295</v>
      </c>
      <c r="J308">
        <v>140</v>
      </c>
      <c r="K308">
        <v>41300</v>
      </c>
      <c r="L308">
        <v>3286.21</v>
      </c>
      <c r="M308">
        <v>11325.18</v>
      </c>
      <c r="N308" t="s">
        <v>19</v>
      </c>
    </row>
    <row r="309" spans="1:14" x14ac:dyDescent="0.3">
      <c r="A309">
        <v>9307</v>
      </c>
      <c r="B309" s="1">
        <v>45845</v>
      </c>
      <c r="C309">
        <v>2025</v>
      </c>
      <c r="D309" t="s">
        <v>54</v>
      </c>
      <c r="E309" t="s">
        <v>30</v>
      </c>
      <c r="F309" t="s">
        <v>31</v>
      </c>
      <c r="G309" t="s">
        <v>22</v>
      </c>
      <c r="H309" t="s">
        <v>39</v>
      </c>
      <c r="I309">
        <v>325</v>
      </c>
      <c r="J309">
        <v>25</v>
      </c>
      <c r="K309">
        <v>8125</v>
      </c>
      <c r="L309">
        <v>562.84</v>
      </c>
      <c r="M309">
        <v>2167.2199999999998</v>
      </c>
      <c r="N309" t="s">
        <v>24</v>
      </c>
    </row>
    <row r="310" spans="1:14" x14ac:dyDescent="0.3">
      <c r="A310">
        <v>9308</v>
      </c>
      <c r="B310" s="1">
        <v>45807</v>
      </c>
      <c r="C310">
        <v>2025</v>
      </c>
      <c r="D310" t="s">
        <v>14</v>
      </c>
      <c r="E310" t="s">
        <v>30</v>
      </c>
      <c r="F310" t="s">
        <v>38</v>
      </c>
      <c r="G310" t="s">
        <v>17</v>
      </c>
      <c r="H310" t="s">
        <v>52</v>
      </c>
      <c r="I310">
        <v>266</v>
      </c>
      <c r="J310">
        <v>300</v>
      </c>
      <c r="K310">
        <v>79800</v>
      </c>
      <c r="L310">
        <v>5530.77</v>
      </c>
      <c r="M310">
        <v>23074.41</v>
      </c>
      <c r="N310" t="s">
        <v>24</v>
      </c>
    </row>
    <row r="311" spans="1:14" x14ac:dyDescent="0.3">
      <c r="A311">
        <v>9309</v>
      </c>
      <c r="B311" s="1">
        <v>45698</v>
      </c>
      <c r="C311">
        <v>2025</v>
      </c>
      <c r="D311" t="s">
        <v>42</v>
      </c>
      <c r="E311" t="s">
        <v>26</v>
      </c>
      <c r="F311" t="s">
        <v>27</v>
      </c>
      <c r="G311" t="s">
        <v>35</v>
      </c>
      <c r="H311" t="s">
        <v>41</v>
      </c>
      <c r="I311">
        <v>404</v>
      </c>
      <c r="J311">
        <v>140</v>
      </c>
      <c r="K311">
        <v>56560</v>
      </c>
      <c r="L311">
        <v>4133.54</v>
      </c>
      <c r="M311">
        <v>13075.77</v>
      </c>
      <c r="N311" t="s">
        <v>19</v>
      </c>
    </row>
    <row r="312" spans="1:14" x14ac:dyDescent="0.3">
      <c r="A312">
        <v>9310</v>
      </c>
      <c r="B312" s="1">
        <v>45912</v>
      </c>
      <c r="C312">
        <v>2025</v>
      </c>
      <c r="D312" t="s">
        <v>37</v>
      </c>
      <c r="E312" t="s">
        <v>30</v>
      </c>
      <c r="F312" t="s">
        <v>31</v>
      </c>
      <c r="G312" t="s">
        <v>22</v>
      </c>
      <c r="H312" t="s">
        <v>23</v>
      </c>
      <c r="I312">
        <v>268</v>
      </c>
      <c r="J312">
        <v>420</v>
      </c>
      <c r="K312">
        <v>112560</v>
      </c>
      <c r="L312">
        <v>9368.9599999999991</v>
      </c>
      <c r="M312">
        <v>30907.23</v>
      </c>
      <c r="N312" t="s">
        <v>19</v>
      </c>
    </row>
    <row r="313" spans="1:14" x14ac:dyDescent="0.3">
      <c r="A313">
        <v>9311</v>
      </c>
      <c r="B313" s="1">
        <v>45725</v>
      </c>
      <c r="C313">
        <v>2025</v>
      </c>
      <c r="D313" t="s">
        <v>40</v>
      </c>
      <c r="E313" t="s">
        <v>26</v>
      </c>
      <c r="F313" t="s">
        <v>48</v>
      </c>
      <c r="G313" t="s">
        <v>17</v>
      </c>
      <c r="H313" t="s">
        <v>55</v>
      </c>
      <c r="I313">
        <v>320</v>
      </c>
      <c r="J313">
        <v>120</v>
      </c>
      <c r="K313">
        <v>38400</v>
      </c>
      <c r="L313">
        <v>3616.06</v>
      </c>
      <c r="M313">
        <v>11384.29</v>
      </c>
      <c r="N313" t="s">
        <v>19</v>
      </c>
    </row>
    <row r="314" spans="1:14" x14ac:dyDescent="0.3">
      <c r="A314">
        <v>9312</v>
      </c>
      <c r="B314" s="1">
        <v>45722</v>
      </c>
      <c r="C314">
        <v>2025</v>
      </c>
      <c r="D314" t="s">
        <v>40</v>
      </c>
      <c r="E314" t="s">
        <v>26</v>
      </c>
      <c r="F314" t="s">
        <v>27</v>
      </c>
      <c r="G314" t="s">
        <v>44</v>
      </c>
      <c r="H314" t="s">
        <v>45</v>
      </c>
      <c r="I314">
        <v>368</v>
      </c>
      <c r="J314">
        <v>55</v>
      </c>
      <c r="K314">
        <v>20240</v>
      </c>
      <c r="L314">
        <v>1259.77</v>
      </c>
      <c r="M314">
        <v>5716.2</v>
      </c>
      <c r="N314" t="s">
        <v>24</v>
      </c>
    </row>
    <row r="315" spans="1:14" x14ac:dyDescent="0.3">
      <c r="A315">
        <v>9313</v>
      </c>
      <c r="B315" s="1">
        <v>45775</v>
      </c>
      <c r="C315">
        <v>2025</v>
      </c>
      <c r="D315" t="s">
        <v>49</v>
      </c>
      <c r="E315" t="s">
        <v>15</v>
      </c>
      <c r="F315" t="s">
        <v>21</v>
      </c>
      <c r="G315" t="s">
        <v>22</v>
      </c>
      <c r="H315" t="s">
        <v>32</v>
      </c>
      <c r="I315">
        <v>322</v>
      </c>
      <c r="J315">
        <v>60</v>
      </c>
      <c r="K315">
        <v>19320</v>
      </c>
      <c r="L315">
        <v>1071.1500000000001</v>
      </c>
      <c r="M315">
        <v>5372.28</v>
      </c>
      <c r="N315" t="s">
        <v>19</v>
      </c>
    </row>
    <row r="316" spans="1:14" x14ac:dyDescent="0.3">
      <c r="A316">
        <v>9314</v>
      </c>
      <c r="B316" s="1">
        <v>45743</v>
      </c>
      <c r="C316">
        <v>2025</v>
      </c>
      <c r="D316" t="s">
        <v>40</v>
      </c>
      <c r="E316" t="s">
        <v>26</v>
      </c>
      <c r="F316" t="s">
        <v>48</v>
      </c>
      <c r="G316" t="s">
        <v>22</v>
      </c>
      <c r="H316" t="s">
        <v>47</v>
      </c>
      <c r="I316">
        <v>129</v>
      </c>
      <c r="J316">
        <v>45</v>
      </c>
      <c r="K316">
        <v>5805</v>
      </c>
      <c r="L316">
        <v>570.49</v>
      </c>
      <c r="M316">
        <v>1452.34</v>
      </c>
      <c r="N316" t="s">
        <v>24</v>
      </c>
    </row>
    <row r="317" spans="1:14" x14ac:dyDescent="0.3">
      <c r="A317">
        <v>9315</v>
      </c>
      <c r="B317" s="1">
        <v>46010</v>
      </c>
      <c r="C317">
        <v>2025</v>
      </c>
      <c r="D317" t="s">
        <v>51</v>
      </c>
      <c r="E317" t="s">
        <v>26</v>
      </c>
      <c r="F317" t="s">
        <v>34</v>
      </c>
      <c r="G317" t="s">
        <v>17</v>
      </c>
      <c r="H317" t="s">
        <v>52</v>
      </c>
      <c r="I317">
        <v>354</v>
      </c>
      <c r="J317">
        <v>300</v>
      </c>
      <c r="K317">
        <v>106200</v>
      </c>
      <c r="L317">
        <v>9424.1</v>
      </c>
      <c r="M317">
        <v>32636.400000000001</v>
      </c>
      <c r="N317" t="s">
        <v>19</v>
      </c>
    </row>
    <row r="318" spans="1:14" x14ac:dyDescent="0.3">
      <c r="A318">
        <v>9316</v>
      </c>
      <c r="B318" s="1">
        <v>45978</v>
      </c>
      <c r="C318">
        <v>2025</v>
      </c>
      <c r="D318" t="s">
        <v>25</v>
      </c>
      <c r="E318" t="s">
        <v>30</v>
      </c>
      <c r="F318" t="s">
        <v>38</v>
      </c>
      <c r="G318" t="s">
        <v>17</v>
      </c>
      <c r="H318" t="s">
        <v>55</v>
      </c>
      <c r="I318">
        <v>295</v>
      </c>
      <c r="J318">
        <v>120</v>
      </c>
      <c r="K318">
        <v>35400</v>
      </c>
      <c r="L318">
        <v>2797.93</v>
      </c>
      <c r="M318">
        <v>7928.15</v>
      </c>
      <c r="N318" t="s">
        <v>24</v>
      </c>
    </row>
    <row r="319" spans="1:14" x14ac:dyDescent="0.3">
      <c r="A319">
        <v>9317</v>
      </c>
      <c r="B319" s="1">
        <v>45876</v>
      </c>
      <c r="C319">
        <v>2025</v>
      </c>
      <c r="D319" t="s">
        <v>20</v>
      </c>
      <c r="E319" t="s">
        <v>15</v>
      </c>
      <c r="F319" t="s">
        <v>21</v>
      </c>
      <c r="G319" t="s">
        <v>44</v>
      </c>
      <c r="H319" t="s">
        <v>56</v>
      </c>
      <c r="I319">
        <v>126</v>
      </c>
      <c r="J319">
        <v>80</v>
      </c>
      <c r="K319">
        <v>10080</v>
      </c>
      <c r="L319">
        <v>916.59</v>
      </c>
      <c r="M319">
        <v>2677.17</v>
      </c>
      <c r="N319" t="s">
        <v>19</v>
      </c>
    </row>
    <row r="320" spans="1:14" x14ac:dyDescent="0.3">
      <c r="A320">
        <v>9318</v>
      </c>
      <c r="B320" s="1">
        <v>45700</v>
      </c>
      <c r="C320">
        <v>2025</v>
      </c>
      <c r="D320" t="s">
        <v>42</v>
      </c>
      <c r="E320" t="s">
        <v>26</v>
      </c>
      <c r="F320" t="s">
        <v>34</v>
      </c>
      <c r="G320" t="s">
        <v>22</v>
      </c>
      <c r="H320" t="s">
        <v>23</v>
      </c>
      <c r="I320">
        <v>85</v>
      </c>
      <c r="J320">
        <v>420</v>
      </c>
      <c r="K320">
        <v>35700</v>
      </c>
      <c r="L320">
        <v>2550.9499999999998</v>
      </c>
      <c r="M320">
        <v>8664.91</v>
      </c>
      <c r="N320" t="s">
        <v>19</v>
      </c>
    </row>
    <row r="321" spans="1:14" x14ac:dyDescent="0.3">
      <c r="A321">
        <v>9319</v>
      </c>
      <c r="B321" s="1">
        <v>45822</v>
      </c>
      <c r="C321">
        <v>2025</v>
      </c>
      <c r="D321" t="s">
        <v>46</v>
      </c>
      <c r="E321" t="s">
        <v>26</v>
      </c>
      <c r="F321" t="s">
        <v>53</v>
      </c>
      <c r="G321" t="s">
        <v>22</v>
      </c>
      <c r="H321" t="s">
        <v>47</v>
      </c>
      <c r="I321">
        <v>63</v>
      </c>
      <c r="J321">
        <v>45</v>
      </c>
      <c r="K321">
        <v>2835</v>
      </c>
      <c r="L321">
        <v>251.8</v>
      </c>
      <c r="M321">
        <v>711.6</v>
      </c>
      <c r="N321" t="s">
        <v>19</v>
      </c>
    </row>
    <row r="322" spans="1:14" x14ac:dyDescent="0.3">
      <c r="A322">
        <v>9320</v>
      </c>
      <c r="B322" s="1">
        <v>45748</v>
      </c>
      <c r="C322">
        <v>2025</v>
      </c>
      <c r="D322" t="s">
        <v>49</v>
      </c>
      <c r="E322" t="s">
        <v>30</v>
      </c>
      <c r="F322" t="s">
        <v>38</v>
      </c>
      <c r="G322" t="s">
        <v>44</v>
      </c>
      <c r="H322" t="s">
        <v>56</v>
      </c>
      <c r="I322">
        <v>271</v>
      </c>
      <c r="J322">
        <v>80</v>
      </c>
      <c r="K322">
        <v>21680</v>
      </c>
      <c r="L322">
        <v>1765.99</v>
      </c>
      <c r="M322">
        <v>6669.89</v>
      </c>
      <c r="N322" t="s">
        <v>24</v>
      </c>
    </row>
    <row r="323" spans="1:14" x14ac:dyDescent="0.3">
      <c r="A323">
        <v>9321</v>
      </c>
      <c r="B323" s="1">
        <v>45782</v>
      </c>
      <c r="C323">
        <v>2025</v>
      </c>
      <c r="D323" t="s">
        <v>14</v>
      </c>
      <c r="E323" t="s">
        <v>26</v>
      </c>
      <c r="F323" t="s">
        <v>34</v>
      </c>
      <c r="G323" t="s">
        <v>22</v>
      </c>
      <c r="H323" t="s">
        <v>39</v>
      </c>
      <c r="I323">
        <v>46</v>
      </c>
      <c r="J323">
        <v>25</v>
      </c>
      <c r="K323">
        <v>1150</v>
      </c>
      <c r="L323">
        <v>62.97</v>
      </c>
      <c r="M323">
        <v>254.8</v>
      </c>
      <c r="N323" t="s">
        <v>19</v>
      </c>
    </row>
    <row r="324" spans="1:14" x14ac:dyDescent="0.3">
      <c r="A324">
        <v>9322</v>
      </c>
      <c r="B324" s="1">
        <v>45770</v>
      </c>
      <c r="C324">
        <v>2025</v>
      </c>
      <c r="D324" t="s">
        <v>49</v>
      </c>
      <c r="E324" t="s">
        <v>30</v>
      </c>
      <c r="F324" t="s">
        <v>38</v>
      </c>
      <c r="G324" t="s">
        <v>44</v>
      </c>
      <c r="H324" t="s">
        <v>50</v>
      </c>
      <c r="I324">
        <v>102</v>
      </c>
      <c r="J324">
        <v>150</v>
      </c>
      <c r="K324">
        <v>15300</v>
      </c>
      <c r="L324">
        <v>1361.43</v>
      </c>
      <c r="M324">
        <v>2511.92</v>
      </c>
      <c r="N324" t="s">
        <v>24</v>
      </c>
    </row>
    <row r="325" spans="1:14" x14ac:dyDescent="0.3">
      <c r="A325">
        <v>9323</v>
      </c>
      <c r="B325" s="1">
        <v>45828</v>
      </c>
      <c r="C325">
        <v>2025</v>
      </c>
      <c r="D325" t="s">
        <v>46</v>
      </c>
      <c r="E325" t="s">
        <v>26</v>
      </c>
      <c r="F325" t="s">
        <v>53</v>
      </c>
      <c r="G325" t="s">
        <v>35</v>
      </c>
      <c r="H325" t="s">
        <v>41</v>
      </c>
      <c r="I325">
        <v>473</v>
      </c>
      <c r="J325">
        <v>140</v>
      </c>
      <c r="K325">
        <v>66220</v>
      </c>
      <c r="L325">
        <v>6311.22</v>
      </c>
      <c r="M325">
        <v>15466.86</v>
      </c>
      <c r="N325" t="s">
        <v>24</v>
      </c>
    </row>
    <row r="326" spans="1:14" x14ac:dyDescent="0.3">
      <c r="A326">
        <v>9324</v>
      </c>
      <c r="B326" s="1">
        <v>45717</v>
      </c>
      <c r="C326">
        <v>2025</v>
      </c>
      <c r="D326" t="s">
        <v>40</v>
      </c>
      <c r="E326" t="s">
        <v>26</v>
      </c>
      <c r="F326" t="s">
        <v>27</v>
      </c>
      <c r="G326" t="s">
        <v>22</v>
      </c>
      <c r="H326" t="s">
        <v>23</v>
      </c>
      <c r="I326">
        <v>376</v>
      </c>
      <c r="J326">
        <v>420</v>
      </c>
      <c r="K326">
        <v>157920</v>
      </c>
      <c r="L326">
        <v>14400.38</v>
      </c>
      <c r="M326">
        <v>32279.45</v>
      </c>
      <c r="N326" t="s">
        <v>19</v>
      </c>
    </row>
    <row r="327" spans="1:14" x14ac:dyDescent="0.3">
      <c r="A327">
        <v>9325</v>
      </c>
      <c r="B327" s="1">
        <v>45693</v>
      </c>
      <c r="C327">
        <v>2025</v>
      </c>
      <c r="D327" t="s">
        <v>42</v>
      </c>
      <c r="E327" t="s">
        <v>15</v>
      </c>
      <c r="F327" t="s">
        <v>16</v>
      </c>
      <c r="G327" t="s">
        <v>17</v>
      </c>
      <c r="H327" t="s">
        <v>18</v>
      </c>
      <c r="I327">
        <v>79</v>
      </c>
      <c r="J327">
        <v>350</v>
      </c>
      <c r="K327">
        <v>27650</v>
      </c>
      <c r="L327">
        <v>2236.44</v>
      </c>
      <c r="M327">
        <v>8498.1299999999992</v>
      </c>
      <c r="N327" t="s">
        <v>24</v>
      </c>
    </row>
    <row r="328" spans="1:14" x14ac:dyDescent="0.3">
      <c r="A328">
        <v>9326</v>
      </c>
      <c r="B328" s="1">
        <v>45851</v>
      </c>
      <c r="C328">
        <v>2025</v>
      </c>
      <c r="D328" t="s">
        <v>54</v>
      </c>
      <c r="E328" t="s">
        <v>30</v>
      </c>
      <c r="F328" t="s">
        <v>43</v>
      </c>
      <c r="G328" t="s">
        <v>44</v>
      </c>
      <c r="H328" t="s">
        <v>56</v>
      </c>
      <c r="I328">
        <v>9</v>
      </c>
      <c r="J328">
        <v>80</v>
      </c>
      <c r="K328">
        <v>720</v>
      </c>
      <c r="L328">
        <v>39.56</v>
      </c>
      <c r="M328">
        <v>164.71</v>
      </c>
      <c r="N328" t="s">
        <v>19</v>
      </c>
    </row>
    <row r="329" spans="1:14" x14ac:dyDescent="0.3">
      <c r="A329">
        <v>9327</v>
      </c>
      <c r="B329" s="1">
        <v>45979</v>
      </c>
      <c r="C329">
        <v>2025</v>
      </c>
      <c r="D329" t="s">
        <v>25</v>
      </c>
      <c r="E329" t="s">
        <v>26</v>
      </c>
      <c r="F329" t="s">
        <v>53</v>
      </c>
      <c r="G329" t="s">
        <v>35</v>
      </c>
      <c r="H329" t="s">
        <v>36</v>
      </c>
      <c r="I329">
        <v>77</v>
      </c>
      <c r="J329">
        <v>35</v>
      </c>
      <c r="K329">
        <v>2695</v>
      </c>
      <c r="L329">
        <v>233.07</v>
      </c>
      <c r="M329">
        <v>454.43</v>
      </c>
      <c r="N329" t="s">
        <v>19</v>
      </c>
    </row>
    <row r="330" spans="1:14" x14ac:dyDescent="0.3">
      <c r="A330">
        <v>9328</v>
      </c>
      <c r="B330" s="1">
        <v>45985</v>
      </c>
      <c r="C330">
        <v>2025</v>
      </c>
      <c r="D330" t="s">
        <v>25</v>
      </c>
      <c r="E330" t="s">
        <v>30</v>
      </c>
      <c r="F330" t="s">
        <v>31</v>
      </c>
      <c r="G330" t="s">
        <v>44</v>
      </c>
      <c r="H330" t="s">
        <v>45</v>
      </c>
      <c r="I330">
        <v>216</v>
      </c>
      <c r="J330">
        <v>55</v>
      </c>
      <c r="K330">
        <v>11880</v>
      </c>
      <c r="L330">
        <v>694</v>
      </c>
      <c r="M330">
        <v>3101.11</v>
      </c>
      <c r="N330" t="s">
        <v>24</v>
      </c>
    </row>
    <row r="331" spans="1:14" x14ac:dyDescent="0.3">
      <c r="A331">
        <v>9329</v>
      </c>
      <c r="B331" s="1">
        <v>45721</v>
      </c>
      <c r="C331">
        <v>2025</v>
      </c>
      <c r="D331" t="s">
        <v>40</v>
      </c>
      <c r="E331" t="s">
        <v>30</v>
      </c>
      <c r="F331" t="s">
        <v>31</v>
      </c>
      <c r="G331" t="s">
        <v>22</v>
      </c>
      <c r="H331" t="s">
        <v>28</v>
      </c>
      <c r="I331">
        <v>411</v>
      </c>
      <c r="J331">
        <v>50</v>
      </c>
      <c r="K331">
        <v>20550</v>
      </c>
      <c r="L331">
        <v>1508.61</v>
      </c>
      <c r="M331">
        <v>6511.58</v>
      </c>
      <c r="N331" t="s">
        <v>19</v>
      </c>
    </row>
    <row r="332" spans="1:14" x14ac:dyDescent="0.3">
      <c r="A332">
        <v>9330</v>
      </c>
      <c r="B332" s="1">
        <v>45753</v>
      </c>
      <c r="C332">
        <v>2025</v>
      </c>
      <c r="D332" t="s">
        <v>49</v>
      </c>
      <c r="E332" t="s">
        <v>30</v>
      </c>
      <c r="F332" t="s">
        <v>38</v>
      </c>
      <c r="G332" t="s">
        <v>44</v>
      </c>
      <c r="H332" t="s">
        <v>50</v>
      </c>
      <c r="I332">
        <v>490</v>
      </c>
      <c r="J332">
        <v>150</v>
      </c>
      <c r="K332">
        <v>73500</v>
      </c>
      <c r="L332">
        <v>4778.76</v>
      </c>
      <c r="M332">
        <v>21233.279999999999</v>
      </c>
      <c r="N332" t="s">
        <v>19</v>
      </c>
    </row>
    <row r="333" spans="1:14" x14ac:dyDescent="0.3">
      <c r="A333">
        <v>9331</v>
      </c>
      <c r="B333" s="1">
        <v>45826</v>
      </c>
      <c r="C333">
        <v>2025</v>
      </c>
      <c r="D333" t="s">
        <v>46</v>
      </c>
      <c r="E333" t="s">
        <v>26</v>
      </c>
      <c r="F333" t="s">
        <v>27</v>
      </c>
      <c r="G333" t="s">
        <v>44</v>
      </c>
      <c r="H333" t="s">
        <v>56</v>
      </c>
      <c r="I333">
        <v>361</v>
      </c>
      <c r="J333">
        <v>80</v>
      </c>
      <c r="K333">
        <v>28880</v>
      </c>
      <c r="L333">
        <v>2527.63</v>
      </c>
      <c r="M333">
        <v>6007.82</v>
      </c>
      <c r="N333" t="s">
        <v>24</v>
      </c>
    </row>
    <row r="334" spans="1:14" x14ac:dyDescent="0.3">
      <c r="A334">
        <v>9332</v>
      </c>
      <c r="B334" s="1">
        <v>45819</v>
      </c>
      <c r="C334">
        <v>2025</v>
      </c>
      <c r="D334" t="s">
        <v>46</v>
      </c>
      <c r="E334" t="s">
        <v>30</v>
      </c>
      <c r="F334" t="s">
        <v>43</v>
      </c>
      <c r="G334" t="s">
        <v>17</v>
      </c>
      <c r="H334" t="s">
        <v>52</v>
      </c>
      <c r="I334">
        <v>291</v>
      </c>
      <c r="J334">
        <v>300</v>
      </c>
      <c r="K334">
        <v>87300</v>
      </c>
      <c r="L334">
        <v>6415.07</v>
      </c>
      <c r="M334">
        <v>20935.71</v>
      </c>
      <c r="N334" t="s">
        <v>19</v>
      </c>
    </row>
    <row r="335" spans="1:14" x14ac:dyDescent="0.3">
      <c r="A335">
        <v>9333</v>
      </c>
      <c r="B335" s="1">
        <v>45910</v>
      </c>
      <c r="C335">
        <v>2025</v>
      </c>
      <c r="D335" t="s">
        <v>37</v>
      </c>
      <c r="E335" t="s">
        <v>15</v>
      </c>
      <c r="F335" t="s">
        <v>21</v>
      </c>
      <c r="G335" t="s">
        <v>17</v>
      </c>
      <c r="H335" t="s">
        <v>18</v>
      </c>
      <c r="I335">
        <v>370</v>
      </c>
      <c r="J335">
        <v>350</v>
      </c>
      <c r="K335">
        <v>129500</v>
      </c>
      <c r="L335">
        <v>8447.11</v>
      </c>
      <c r="M335">
        <v>42834.18</v>
      </c>
      <c r="N335" t="s">
        <v>19</v>
      </c>
    </row>
    <row r="336" spans="1:14" x14ac:dyDescent="0.3">
      <c r="A336">
        <v>9334</v>
      </c>
      <c r="B336" s="1">
        <v>45981</v>
      </c>
      <c r="C336">
        <v>2025</v>
      </c>
      <c r="D336" t="s">
        <v>25</v>
      </c>
      <c r="E336" t="s">
        <v>30</v>
      </c>
      <c r="F336" t="s">
        <v>31</v>
      </c>
      <c r="G336" t="s">
        <v>35</v>
      </c>
      <c r="H336" t="s">
        <v>41</v>
      </c>
      <c r="I336">
        <v>313</v>
      </c>
      <c r="J336">
        <v>140</v>
      </c>
      <c r="K336">
        <v>43820</v>
      </c>
      <c r="L336">
        <v>3327.19</v>
      </c>
      <c r="M336">
        <v>10012.93</v>
      </c>
      <c r="N336" t="s">
        <v>24</v>
      </c>
    </row>
    <row r="337" spans="1:14" x14ac:dyDescent="0.3">
      <c r="A337">
        <v>9335</v>
      </c>
      <c r="B337" s="1">
        <v>45664</v>
      </c>
      <c r="C337">
        <v>2025</v>
      </c>
      <c r="D337" t="s">
        <v>29</v>
      </c>
      <c r="E337" t="s">
        <v>15</v>
      </c>
      <c r="F337" t="s">
        <v>16</v>
      </c>
      <c r="G337" t="s">
        <v>22</v>
      </c>
      <c r="H337" t="s">
        <v>47</v>
      </c>
      <c r="I337">
        <v>221</v>
      </c>
      <c r="J337">
        <v>45</v>
      </c>
      <c r="K337">
        <v>9945</v>
      </c>
      <c r="L337">
        <v>976.58</v>
      </c>
      <c r="M337">
        <v>1810.14</v>
      </c>
      <c r="N337" t="s">
        <v>19</v>
      </c>
    </row>
    <row r="338" spans="1:14" x14ac:dyDescent="0.3">
      <c r="A338">
        <v>9336</v>
      </c>
      <c r="B338" s="1">
        <v>45931</v>
      </c>
      <c r="C338">
        <v>2025</v>
      </c>
      <c r="D338" t="s">
        <v>33</v>
      </c>
      <c r="E338" t="s">
        <v>15</v>
      </c>
      <c r="F338" t="s">
        <v>21</v>
      </c>
      <c r="G338" t="s">
        <v>22</v>
      </c>
      <c r="H338" t="s">
        <v>23</v>
      </c>
      <c r="I338">
        <v>120</v>
      </c>
      <c r="J338">
        <v>420</v>
      </c>
      <c r="K338">
        <v>50400</v>
      </c>
      <c r="L338">
        <v>4349.79</v>
      </c>
      <c r="M338">
        <v>10052.790000000001</v>
      </c>
      <c r="N338" t="s">
        <v>24</v>
      </c>
    </row>
    <row r="339" spans="1:14" x14ac:dyDescent="0.3">
      <c r="A339">
        <v>9337</v>
      </c>
      <c r="B339" s="1">
        <v>45786</v>
      </c>
      <c r="C339">
        <v>2025</v>
      </c>
      <c r="D339" t="s">
        <v>14</v>
      </c>
      <c r="E339" t="s">
        <v>26</v>
      </c>
      <c r="F339" t="s">
        <v>34</v>
      </c>
      <c r="G339" t="s">
        <v>35</v>
      </c>
      <c r="H339" t="s">
        <v>41</v>
      </c>
      <c r="I339">
        <v>30</v>
      </c>
      <c r="J339">
        <v>140</v>
      </c>
      <c r="K339">
        <v>4200</v>
      </c>
      <c r="L339">
        <v>270.63</v>
      </c>
      <c r="M339">
        <v>841.88</v>
      </c>
      <c r="N339" t="s">
        <v>24</v>
      </c>
    </row>
    <row r="340" spans="1:14" x14ac:dyDescent="0.3">
      <c r="A340">
        <v>9338</v>
      </c>
      <c r="B340" s="1">
        <v>46009</v>
      </c>
      <c r="C340">
        <v>2025</v>
      </c>
      <c r="D340" t="s">
        <v>51</v>
      </c>
      <c r="E340" t="s">
        <v>26</v>
      </c>
      <c r="F340" t="s">
        <v>34</v>
      </c>
      <c r="G340" t="s">
        <v>44</v>
      </c>
      <c r="H340" t="s">
        <v>50</v>
      </c>
      <c r="I340">
        <v>462</v>
      </c>
      <c r="J340">
        <v>150</v>
      </c>
      <c r="K340">
        <v>69300</v>
      </c>
      <c r="L340">
        <v>5806.37</v>
      </c>
      <c r="M340">
        <v>16792.48</v>
      </c>
      <c r="N340" t="s">
        <v>24</v>
      </c>
    </row>
    <row r="341" spans="1:14" x14ac:dyDescent="0.3">
      <c r="A341">
        <v>9339</v>
      </c>
      <c r="B341" s="1">
        <v>45721</v>
      </c>
      <c r="C341">
        <v>2025</v>
      </c>
      <c r="D341" t="s">
        <v>40</v>
      </c>
      <c r="E341" t="s">
        <v>30</v>
      </c>
      <c r="F341" t="s">
        <v>43</v>
      </c>
      <c r="G341" t="s">
        <v>17</v>
      </c>
      <c r="H341" t="s">
        <v>52</v>
      </c>
      <c r="I341">
        <v>52</v>
      </c>
      <c r="J341">
        <v>300</v>
      </c>
      <c r="K341">
        <v>15600</v>
      </c>
      <c r="L341">
        <v>1027.68</v>
      </c>
      <c r="M341">
        <v>3366.69</v>
      </c>
      <c r="N341" t="s">
        <v>19</v>
      </c>
    </row>
    <row r="342" spans="1:14" x14ac:dyDescent="0.3">
      <c r="A342">
        <v>9340</v>
      </c>
      <c r="B342" s="1">
        <v>45819</v>
      </c>
      <c r="C342">
        <v>2025</v>
      </c>
      <c r="D342" t="s">
        <v>46</v>
      </c>
      <c r="E342" t="s">
        <v>15</v>
      </c>
      <c r="F342" t="s">
        <v>16</v>
      </c>
      <c r="G342" t="s">
        <v>44</v>
      </c>
      <c r="H342" t="s">
        <v>50</v>
      </c>
      <c r="I342">
        <v>168</v>
      </c>
      <c r="J342">
        <v>150</v>
      </c>
      <c r="K342">
        <v>25200</v>
      </c>
      <c r="L342">
        <v>2477.84</v>
      </c>
      <c r="M342">
        <v>7269.07</v>
      </c>
      <c r="N342" t="s">
        <v>24</v>
      </c>
    </row>
    <row r="343" spans="1:14" x14ac:dyDescent="0.3">
      <c r="A343">
        <v>9341</v>
      </c>
      <c r="B343" s="1">
        <v>45771</v>
      </c>
      <c r="C343">
        <v>2025</v>
      </c>
      <c r="D343" t="s">
        <v>49</v>
      </c>
      <c r="E343" t="s">
        <v>15</v>
      </c>
      <c r="F343" t="s">
        <v>16</v>
      </c>
      <c r="G343" t="s">
        <v>17</v>
      </c>
      <c r="H343" t="s">
        <v>55</v>
      </c>
      <c r="I343">
        <v>302</v>
      </c>
      <c r="J343">
        <v>120</v>
      </c>
      <c r="K343">
        <v>36240</v>
      </c>
      <c r="L343">
        <v>3007.39</v>
      </c>
      <c r="M343">
        <v>10691.01</v>
      </c>
      <c r="N343" t="s">
        <v>19</v>
      </c>
    </row>
    <row r="344" spans="1:14" x14ac:dyDescent="0.3">
      <c r="A344">
        <v>9342</v>
      </c>
      <c r="B344" s="1">
        <v>45692</v>
      </c>
      <c r="C344">
        <v>2025</v>
      </c>
      <c r="D344" t="s">
        <v>42</v>
      </c>
      <c r="E344" t="s">
        <v>26</v>
      </c>
      <c r="F344" t="s">
        <v>27</v>
      </c>
      <c r="G344" t="s">
        <v>22</v>
      </c>
      <c r="H344" t="s">
        <v>32</v>
      </c>
      <c r="I344">
        <v>411</v>
      </c>
      <c r="J344">
        <v>60</v>
      </c>
      <c r="K344">
        <v>24660</v>
      </c>
      <c r="L344">
        <v>2412.3200000000002</v>
      </c>
      <c r="M344">
        <v>6480.58</v>
      </c>
      <c r="N344" t="s">
        <v>24</v>
      </c>
    </row>
    <row r="345" spans="1:14" x14ac:dyDescent="0.3">
      <c r="A345">
        <v>9343</v>
      </c>
      <c r="B345" s="1">
        <v>45736</v>
      </c>
      <c r="C345">
        <v>2025</v>
      </c>
      <c r="D345" t="s">
        <v>40</v>
      </c>
      <c r="E345" t="s">
        <v>30</v>
      </c>
      <c r="F345" t="s">
        <v>43</v>
      </c>
      <c r="G345" t="s">
        <v>22</v>
      </c>
      <c r="H345" t="s">
        <v>23</v>
      </c>
      <c r="I345">
        <v>260</v>
      </c>
      <c r="J345">
        <v>420</v>
      </c>
      <c r="K345">
        <v>109200</v>
      </c>
      <c r="L345">
        <v>8755.83</v>
      </c>
      <c r="M345">
        <v>24972.3</v>
      </c>
      <c r="N345" t="s">
        <v>24</v>
      </c>
    </row>
    <row r="346" spans="1:14" x14ac:dyDescent="0.3">
      <c r="A346">
        <v>9344</v>
      </c>
      <c r="B346" s="1">
        <v>45733</v>
      </c>
      <c r="C346">
        <v>2025</v>
      </c>
      <c r="D346" t="s">
        <v>40</v>
      </c>
      <c r="E346" t="s">
        <v>15</v>
      </c>
      <c r="F346" t="s">
        <v>21</v>
      </c>
      <c r="G346" t="s">
        <v>35</v>
      </c>
      <c r="H346" t="s">
        <v>41</v>
      </c>
      <c r="I346">
        <v>475</v>
      </c>
      <c r="J346">
        <v>140</v>
      </c>
      <c r="K346">
        <v>66500</v>
      </c>
      <c r="L346">
        <v>5290.15</v>
      </c>
      <c r="M346">
        <v>13120.48</v>
      </c>
      <c r="N346" t="s">
        <v>24</v>
      </c>
    </row>
    <row r="347" spans="1:14" x14ac:dyDescent="0.3">
      <c r="A347">
        <v>9345</v>
      </c>
      <c r="B347" s="1">
        <v>45972</v>
      </c>
      <c r="C347">
        <v>2025</v>
      </c>
      <c r="D347" t="s">
        <v>25</v>
      </c>
      <c r="E347" t="s">
        <v>15</v>
      </c>
      <c r="F347" t="s">
        <v>21</v>
      </c>
      <c r="G347" t="s">
        <v>22</v>
      </c>
      <c r="H347" t="s">
        <v>39</v>
      </c>
      <c r="I347">
        <v>96</v>
      </c>
      <c r="J347">
        <v>25</v>
      </c>
      <c r="K347">
        <v>2400</v>
      </c>
      <c r="L347">
        <v>190.65</v>
      </c>
      <c r="M347">
        <v>460.33</v>
      </c>
      <c r="N347" t="s">
        <v>24</v>
      </c>
    </row>
    <row r="348" spans="1:14" x14ac:dyDescent="0.3">
      <c r="A348">
        <v>9346</v>
      </c>
      <c r="B348" s="1">
        <v>45661</v>
      </c>
      <c r="C348">
        <v>2025</v>
      </c>
      <c r="D348" t="s">
        <v>29</v>
      </c>
      <c r="E348" t="s">
        <v>26</v>
      </c>
      <c r="F348" t="s">
        <v>27</v>
      </c>
      <c r="G348" t="s">
        <v>44</v>
      </c>
      <c r="H348" t="s">
        <v>56</v>
      </c>
      <c r="I348">
        <v>146</v>
      </c>
      <c r="J348">
        <v>80</v>
      </c>
      <c r="K348">
        <v>11680</v>
      </c>
      <c r="L348">
        <v>617.46</v>
      </c>
      <c r="M348">
        <v>2318.64</v>
      </c>
      <c r="N348" t="s">
        <v>24</v>
      </c>
    </row>
    <row r="349" spans="1:14" x14ac:dyDescent="0.3">
      <c r="A349">
        <v>9347</v>
      </c>
      <c r="B349" s="1">
        <v>45983</v>
      </c>
      <c r="C349">
        <v>2025</v>
      </c>
      <c r="D349" t="s">
        <v>25</v>
      </c>
      <c r="E349" t="s">
        <v>30</v>
      </c>
      <c r="F349" t="s">
        <v>38</v>
      </c>
      <c r="G349" t="s">
        <v>44</v>
      </c>
      <c r="H349" t="s">
        <v>56</v>
      </c>
      <c r="I349">
        <v>436</v>
      </c>
      <c r="J349">
        <v>80</v>
      </c>
      <c r="K349">
        <v>34880</v>
      </c>
      <c r="L349">
        <v>2079.37</v>
      </c>
      <c r="M349">
        <v>11702.25</v>
      </c>
      <c r="N349" t="s">
        <v>24</v>
      </c>
    </row>
    <row r="350" spans="1:14" x14ac:dyDescent="0.3">
      <c r="A350">
        <v>9348</v>
      </c>
      <c r="B350" s="1">
        <v>45884</v>
      </c>
      <c r="C350">
        <v>2025</v>
      </c>
      <c r="D350" t="s">
        <v>20</v>
      </c>
      <c r="E350" t="s">
        <v>30</v>
      </c>
      <c r="F350" t="s">
        <v>38</v>
      </c>
      <c r="G350" t="s">
        <v>17</v>
      </c>
      <c r="H350" t="s">
        <v>55</v>
      </c>
      <c r="I350">
        <v>428</v>
      </c>
      <c r="J350">
        <v>120</v>
      </c>
      <c r="K350">
        <v>51360</v>
      </c>
      <c r="L350">
        <v>4171.87</v>
      </c>
      <c r="M350">
        <v>14298.83</v>
      </c>
      <c r="N350" t="s">
        <v>24</v>
      </c>
    </row>
    <row r="351" spans="1:14" x14ac:dyDescent="0.3">
      <c r="A351">
        <v>9349</v>
      </c>
      <c r="B351" s="1">
        <v>45704</v>
      </c>
      <c r="C351">
        <v>2025</v>
      </c>
      <c r="D351" t="s">
        <v>42</v>
      </c>
      <c r="E351" t="s">
        <v>30</v>
      </c>
      <c r="F351" t="s">
        <v>43</v>
      </c>
      <c r="G351" t="s">
        <v>17</v>
      </c>
      <c r="H351" t="s">
        <v>52</v>
      </c>
      <c r="I351">
        <v>398</v>
      </c>
      <c r="J351">
        <v>300</v>
      </c>
      <c r="K351">
        <v>119400</v>
      </c>
      <c r="L351">
        <v>7416.54</v>
      </c>
      <c r="M351">
        <v>37326.129999999997</v>
      </c>
      <c r="N351" t="s">
        <v>24</v>
      </c>
    </row>
    <row r="352" spans="1:14" x14ac:dyDescent="0.3">
      <c r="A352">
        <v>9350</v>
      </c>
      <c r="B352" s="1">
        <v>45688</v>
      </c>
      <c r="C352">
        <v>2025</v>
      </c>
      <c r="D352" t="s">
        <v>29</v>
      </c>
      <c r="E352" t="s">
        <v>30</v>
      </c>
      <c r="F352" t="s">
        <v>31</v>
      </c>
      <c r="G352" t="s">
        <v>44</v>
      </c>
      <c r="H352" t="s">
        <v>56</v>
      </c>
      <c r="I352">
        <v>346</v>
      </c>
      <c r="J352">
        <v>80</v>
      </c>
      <c r="K352">
        <v>27680</v>
      </c>
      <c r="L352">
        <v>2640.12</v>
      </c>
      <c r="M352">
        <v>6138.29</v>
      </c>
      <c r="N352" t="s">
        <v>24</v>
      </c>
    </row>
    <row r="353" spans="1:14" x14ac:dyDescent="0.3">
      <c r="A353">
        <v>9351</v>
      </c>
      <c r="B353" s="1">
        <v>45916</v>
      </c>
      <c r="C353">
        <v>2025</v>
      </c>
      <c r="D353" t="s">
        <v>37</v>
      </c>
      <c r="E353" t="s">
        <v>15</v>
      </c>
      <c r="F353" t="s">
        <v>21</v>
      </c>
      <c r="G353" t="s">
        <v>17</v>
      </c>
      <c r="H353" t="s">
        <v>52</v>
      </c>
      <c r="I353">
        <v>208</v>
      </c>
      <c r="J353">
        <v>300</v>
      </c>
      <c r="K353">
        <v>62400</v>
      </c>
      <c r="L353">
        <v>5161.5200000000004</v>
      </c>
      <c r="M353">
        <v>14847.58</v>
      </c>
      <c r="N353" t="s">
        <v>19</v>
      </c>
    </row>
    <row r="354" spans="1:14" x14ac:dyDescent="0.3">
      <c r="A354">
        <v>9352</v>
      </c>
      <c r="B354" s="1">
        <v>45992</v>
      </c>
      <c r="C354">
        <v>2025</v>
      </c>
      <c r="D354" t="s">
        <v>51</v>
      </c>
      <c r="E354" t="s">
        <v>15</v>
      </c>
      <c r="F354" t="s">
        <v>21</v>
      </c>
      <c r="G354" t="s">
        <v>17</v>
      </c>
      <c r="H354" t="s">
        <v>52</v>
      </c>
      <c r="I354">
        <v>49</v>
      </c>
      <c r="J354">
        <v>300</v>
      </c>
      <c r="K354">
        <v>14700</v>
      </c>
      <c r="L354">
        <v>1105.1099999999999</v>
      </c>
      <c r="M354">
        <v>3999.79</v>
      </c>
      <c r="N354" t="s">
        <v>19</v>
      </c>
    </row>
    <row r="355" spans="1:14" x14ac:dyDescent="0.3">
      <c r="A355">
        <v>9353</v>
      </c>
      <c r="B355" s="1">
        <v>45764</v>
      </c>
      <c r="C355">
        <v>2025</v>
      </c>
      <c r="D355" t="s">
        <v>49</v>
      </c>
      <c r="E355" t="s">
        <v>30</v>
      </c>
      <c r="F355" t="s">
        <v>31</v>
      </c>
      <c r="G355" t="s">
        <v>17</v>
      </c>
      <c r="H355" t="s">
        <v>55</v>
      </c>
      <c r="I355">
        <v>130</v>
      </c>
      <c r="J355">
        <v>120</v>
      </c>
      <c r="K355">
        <v>15600</v>
      </c>
      <c r="L355">
        <v>1275.9100000000001</v>
      </c>
      <c r="M355">
        <v>2740.88</v>
      </c>
      <c r="N355" t="s">
        <v>19</v>
      </c>
    </row>
    <row r="356" spans="1:14" x14ac:dyDescent="0.3">
      <c r="A356">
        <v>9354</v>
      </c>
      <c r="B356" s="1">
        <v>45864</v>
      </c>
      <c r="C356">
        <v>2025</v>
      </c>
      <c r="D356" t="s">
        <v>54</v>
      </c>
      <c r="E356" t="s">
        <v>26</v>
      </c>
      <c r="F356" t="s">
        <v>34</v>
      </c>
      <c r="G356" t="s">
        <v>22</v>
      </c>
      <c r="H356" t="s">
        <v>23</v>
      </c>
      <c r="I356">
        <v>415</v>
      </c>
      <c r="J356">
        <v>420</v>
      </c>
      <c r="K356">
        <v>174300</v>
      </c>
      <c r="L356">
        <v>12386.23</v>
      </c>
      <c r="M356">
        <v>37613.86</v>
      </c>
      <c r="N356" t="s">
        <v>24</v>
      </c>
    </row>
    <row r="357" spans="1:14" x14ac:dyDescent="0.3">
      <c r="A357">
        <v>9355</v>
      </c>
      <c r="B357" s="1">
        <v>45767</v>
      </c>
      <c r="C357">
        <v>2025</v>
      </c>
      <c r="D357" t="s">
        <v>49</v>
      </c>
      <c r="E357" t="s">
        <v>26</v>
      </c>
      <c r="F357" t="s">
        <v>27</v>
      </c>
      <c r="G357" t="s">
        <v>44</v>
      </c>
      <c r="H357" t="s">
        <v>56</v>
      </c>
      <c r="I357">
        <v>455</v>
      </c>
      <c r="J357">
        <v>80</v>
      </c>
      <c r="K357">
        <v>36400</v>
      </c>
      <c r="L357">
        <v>3210.17</v>
      </c>
      <c r="M357">
        <v>7103.18</v>
      </c>
      <c r="N357" t="s">
        <v>24</v>
      </c>
    </row>
    <row r="358" spans="1:14" x14ac:dyDescent="0.3">
      <c r="A358">
        <v>9356</v>
      </c>
      <c r="B358" s="1">
        <v>45920</v>
      </c>
      <c r="C358">
        <v>2025</v>
      </c>
      <c r="D358" t="s">
        <v>37</v>
      </c>
      <c r="E358" t="s">
        <v>15</v>
      </c>
      <c r="F358" t="s">
        <v>21</v>
      </c>
      <c r="G358" t="s">
        <v>22</v>
      </c>
      <c r="H358" t="s">
        <v>32</v>
      </c>
      <c r="I358">
        <v>17</v>
      </c>
      <c r="J358">
        <v>60</v>
      </c>
      <c r="K358">
        <v>1020</v>
      </c>
      <c r="L358">
        <v>77.02</v>
      </c>
      <c r="M358">
        <v>220.61</v>
      </c>
      <c r="N358" t="s">
        <v>19</v>
      </c>
    </row>
    <row r="359" spans="1:14" x14ac:dyDescent="0.3">
      <c r="A359">
        <v>9357</v>
      </c>
      <c r="B359" s="1">
        <v>45740</v>
      </c>
      <c r="C359">
        <v>2025</v>
      </c>
      <c r="D359" t="s">
        <v>40</v>
      </c>
      <c r="E359" t="s">
        <v>26</v>
      </c>
      <c r="F359" t="s">
        <v>53</v>
      </c>
      <c r="G359" t="s">
        <v>22</v>
      </c>
      <c r="H359" t="s">
        <v>47</v>
      </c>
      <c r="I359">
        <v>39</v>
      </c>
      <c r="J359">
        <v>45</v>
      </c>
      <c r="K359">
        <v>1755</v>
      </c>
      <c r="L359">
        <v>127.43</v>
      </c>
      <c r="M359">
        <v>508.66</v>
      </c>
      <c r="N359" t="s">
        <v>24</v>
      </c>
    </row>
    <row r="360" spans="1:14" x14ac:dyDescent="0.3">
      <c r="A360">
        <v>9358</v>
      </c>
      <c r="B360" s="1">
        <v>45723</v>
      </c>
      <c r="C360">
        <v>2025</v>
      </c>
      <c r="D360" t="s">
        <v>40</v>
      </c>
      <c r="E360" t="s">
        <v>26</v>
      </c>
      <c r="F360" t="s">
        <v>53</v>
      </c>
      <c r="G360" t="s">
        <v>17</v>
      </c>
      <c r="H360" t="s">
        <v>52</v>
      </c>
      <c r="I360">
        <v>30</v>
      </c>
      <c r="J360">
        <v>300</v>
      </c>
      <c r="K360">
        <v>9000</v>
      </c>
      <c r="L360">
        <v>817.82</v>
      </c>
      <c r="M360">
        <v>1649.03</v>
      </c>
      <c r="N360" t="s">
        <v>24</v>
      </c>
    </row>
    <row r="361" spans="1:14" x14ac:dyDescent="0.3">
      <c r="A361">
        <v>9359</v>
      </c>
      <c r="B361" s="1">
        <v>45702</v>
      </c>
      <c r="C361">
        <v>2025</v>
      </c>
      <c r="D361" t="s">
        <v>42</v>
      </c>
      <c r="E361" t="s">
        <v>15</v>
      </c>
      <c r="F361" t="s">
        <v>21</v>
      </c>
      <c r="G361" t="s">
        <v>22</v>
      </c>
      <c r="H361" t="s">
        <v>47</v>
      </c>
      <c r="I361">
        <v>463</v>
      </c>
      <c r="J361">
        <v>45</v>
      </c>
      <c r="K361">
        <v>20835</v>
      </c>
      <c r="L361">
        <v>1616.73</v>
      </c>
      <c r="M361">
        <v>6650.98</v>
      </c>
      <c r="N361" t="s">
        <v>19</v>
      </c>
    </row>
    <row r="362" spans="1:14" x14ac:dyDescent="0.3">
      <c r="A362">
        <v>9360</v>
      </c>
      <c r="B362" s="1">
        <v>45769</v>
      </c>
      <c r="C362">
        <v>2025</v>
      </c>
      <c r="D362" t="s">
        <v>49</v>
      </c>
      <c r="E362" t="s">
        <v>15</v>
      </c>
      <c r="F362" t="s">
        <v>21</v>
      </c>
      <c r="G362" t="s">
        <v>44</v>
      </c>
      <c r="H362" t="s">
        <v>56</v>
      </c>
      <c r="I362">
        <v>223</v>
      </c>
      <c r="J362">
        <v>80</v>
      </c>
      <c r="K362">
        <v>17840</v>
      </c>
      <c r="L362">
        <v>1421.13</v>
      </c>
      <c r="M362">
        <v>3706.83</v>
      </c>
      <c r="N362" t="s">
        <v>19</v>
      </c>
    </row>
    <row r="363" spans="1:14" x14ac:dyDescent="0.3">
      <c r="A363">
        <v>9361</v>
      </c>
      <c r="B363" s="1">
        <v>45929</v>
      </c>
      <c r="C363">
        <v>2025</v>
      </c>
      <c r="D363" t="s">
        <v>37</v>
      </c>
      <c r="E363" t="s">
        <v>15</v>
      </c>
      <c r="F363" t="s">
        <v>21</v>
      </c>
      <c r="G363" t="s">
        <v>35</v>
      </c>
      <c r="H363" t="s">
        <v>36</v>
      </c>
      <c r="I363">
        <v>194</v>
      </c>
      <c r="J363">
        <v>35</v>
      </c>
      <c r="K363">
        <v>6790</v>
      </c>
      <c r="L363">
        <v>342.32</v>
      </c>
      <c r="M363">
        <v>2204.5</v>
      </c>
      <c r="N363" t="s">
        <v>19</v>
      </c>
    </row>
    <row r="364" spans="1:14" x14ac:dyDescent="0.3">
      <c r="A364">
        <v>9362</v>
      </c>
      <c r="B364" s="1">
        <v>45746</v>
      </c>
      <c r="C364">
        <v>2025</v>
      </c>
      <c r="D364" t="s">
        <v>40</v>
      </c>
      <c r="E364" t="s">
        <v>26</v>
      </c>
      <c r="F364" t="s">
        <v>27</v>
      </c>
      <c r="G364" t="s">
        <v>44</v>
      </c>
      <c r="H364" t="s">
        <v>50</v>
      </c>
      <c r="I364">
        <v>180</v>
      </c>
      <c r="J364">
        <v>150</v>
      </c>
      <c r="K364">
        <v>27000</v>
      </c>
      <c r="L364">
        <v>2606.37</v>
      </c>
      <c r="M364">
        <v>5543.45</v>
      </c>
      <c r="N364" t="s">
        <v>24</v>
      </c>
    </row>
    <row r="365" spans="1:14" x14ac:dyDescent="0.3">
      <c r="A365">
        <v>9363</v>
      </c>
      <c r="B365" s="1">
        <v>45664</v>
      </c>
      <c r="C365">
        <v>2025</v>
      </c>
      <c r="D365" t="s">
        <v>29</v>
      </c>
      <c r="E365" t="s">
        <v>30</v>
      </c>
      <c r="F365" t="s">
        <v>38</v>
      </c>
      <c r="G365" t="s">
        <v>35</v>
      </c>
      <c r="H365" t="s">
        <v>41</v>
      </c>
      <c r="I365">
        <v>194</v>
      </c>
      <c r="J365">
        <v>140</v>
      </c>
      <c r="K365">
        <v>27160</v>
      </c>
      <c r="L365">
        <v>1802.18</v>
      </c>
      <c r="M365">
        <v>7142.95</v>
      </c>
      <c r="N365" t="s">
        <v>19</v>
      </c>
    </row>
    <row r="366" spans="1:14" x14ac:dyDescent="0.3">
      <c r="A366">
        <v>9364</v>
      </c>
      <c r="B366" s="1">
        <v>45663</v>
      </c>
      <c r="C366">
        <v>2025</v>
      </c>
      <c r="D366" t="s">
        <v>29</v>
      </c>
      <c r="E366" t="s">
        <v>15</v>
      </c>
      <c r="F366" t="s">
        <v>16</v>
      </c>
      <c r="G366" t="s">
        <v>35</v>
      </c>
      <c r="H366" t="s">
        <v>36</v>
      </c>
      <c r="I366">
        <v>132</v>
      </c>
      <c r="J366">
        <v>35</v>
      </c>
      <c r="K366">
        <v>4620</v>
      </c>
      <c r="L366">
        <v>232.78</v>
      </c>
      <c r="M366">
        <v>1337.49</v>
      </c>
      <c r="N366" t="s">
        <v>24</v>
      </c>
    </row>
    <row r="367" spans="1:14" x14ac:dyDescent="0.3">
      <c r="A367">
        <v>9365</v>
      </c>
      <c r="B367" s="1">
        <v>45867</v>
      </c>
      <c r="C367">
        <v>2025</v>
      </c>
      <c r="D367" t="s">
        <v>54</v>
      </c>
      <c r="E367" t="s">
        <v>26</v>
      </c>
      <c r="F367" t="s">
        <v>27</v>
      </c>
      <c r="G367" t="s">
        <v>22</v>
      </c>
      <c r="H367" t="s">
        <v>32</v>
      </c>
      <c r="I367">
        <v>383</v>
      </c>
      <c r="J367">
        <v>60</v>
      </c>
      <c r="K367">
        <v>22980</v>
      </c>
      <c r="L367">
        <v>2167.9299999999998</v>
      </c>
      <c r="M367">
        <v>4399.26</v>
      </c>
      <c r="N367" t="s">
        <v>19</v>
      </c>
    </row>
    <row r="368" spans="1:14" x14ac:dyDescent="0.3">
      <c r="A368">
        <v>9366</v>
      </c>
      <c r="B368" s="1">
        <v>45762</v>
      </c>
      <c r="C368">
        <v>2025</v>
      </c>
      <c r="D368" t="s">
        <v>49</v>
      </c>
      <c r="E368" t="s">
        <v>30</v>
      </c>
      <c r="F368" t="s">
        <v>31</v>
      </c>
      <c r="G368" t="s">
        <v>35</v>
      </c>
      <c r="H368" t="s">
        <v>41</v>
      </c>
      <c r="I368">
        <v>455</v>
      </c>
      <c r="J368">
        <v>140</v>
      </c>
      <c r="K368">
        <v>63700</v>
      </c>
      <c r="L368">
        <v>6267.4</v>
      </c>
      <c r="M368">
        <v>17461.3</v>
      </c>
      <c r="N368" t="s">
        <v>24</v>
      </c>
    </row>
    <row r="369" spans="1:14" x14ac:dyDescent="0.3">
      <c r="A369">
        <v>9367</v>
      </c>
      <c r="B369" s="1">
        <v>45756</v>
      </c>
      <c r="C369">
        <v>2025</v>
      </c>
      <c r="D369" t="s">
        <v>49</v>
      </c>
      <c r="E369" t="s">
        <v>30</v>
      </c>
      <c r="F369" t="s">
        <v>31</v>
      </c>
      <c r="G369" t="s">
        <v>44</v>
      </c>
      <c r="H369" t="s">
        <v>56</v>
      </c>
      <c r="I369">
        <v>337</v>
      </c>
      <c r="J369">
        <v>80</v>
      </c>
      <c r="K369">
        <v>26960</v>
      </c>
      <c r="L369">
        <v>1408.16</v>
      </c>
      <c r="M369">
        <v>8717.01</v>
      </c>
      <c r="N369" t="s">
        <v>19</v>
      </c>
    </row>
    <row r="370" spans="1:14" x14ac:dyDescent="0.3">
      <c r="A370">
        <v>9368</v>
      </c>
      <c r="B370" s="1">
        <v>45997</v>
      </c>
      <c r="C370">
        <v>2025</v>
      </c>
      <c r="D370" t="s">
        <v>51</v>
      </c>
      <c r="E370" t="s">
        <v>26</v>
      </c>
      <c r="F370" t="s">
        <v>48</v>
      </c>
      <c r="G370" t="s">
        <v>22</v>
      </c>
      <c r="H370" t="s">
        <v>39</v>
      </c>
      <c r="I370">
        <v>214</v>
      </c>
      <c r="J370">
        <v>25</v>
      </c>
      <c r="K370">
        <v>5350</v>
      </c>
      <c r="L370">
        <v>282.75</v>
      </c>
      <c r="M370">
        <v>1518.74</v>
      </c>
      <c r="N370" t="s">
        <v>24</v>
      </c>
    </row>
    <row r="371" spans="1:14" x14ac:dyDescent="0.3">
      <c r="A371">
        <v>9369</v>
      </c>
      <c r="B371" s="1">
        <v>45853</v>
      </c>
      <c r="C371">
        <v>2025</v>
      </c>
      <c r="D371" t="s">
        <v>54</v>
      </c>
      <c r="E371" t="s">
        <v>15</v>
      </c>
      <c r="F371" t="s">
        <v>21</v>
      </c>
      <c r="G371" t="s">
        <v>22</v>
      </c>
      <c r="H371" t="s">
        <v>47</v>
      </c>
      <c r="I371">
        <v>474</v>
      </c>
      <c r="J371">
        <v>45</v>
      </c>
      <c r="K371">
        <v>21330</v>
      </c>
      <c r="L371">
        <v>1858.09</v>
      </c>
      <c r="M371">
        <v>6599.6</v>
      </c>
      <c r="N371" t="s">
        <v>19</v>
      </c>
    </row>
    <row r="372" spans="1:14" x14ac:dyDescent="0.3">
      <c r="A372">
        <v>9370</v>
      </c>
      <c r="B372" s="1">
        <v>45736</v>
      </c>
      <c r="C372">
        <v>2025</v>
      </c>
      <c r="D372" t="s">
        <v>40</v>
      </c>
      <c r="E372" t="s">
        <v>26</v>
      </c>
      <c r="F372" t="s">
        <v>48</v>
      </c>
      <c r="G372" t="s">
        <v>35</v>
      </c>
      <c r="H372" t="s">
        <v>36</v>
      </c>
      <c r="I372">
        <v>480</v>
      </c>
      <c r="J372">
        <v>35</v>
      </c>
      <c r="K372">
        <v>16800</v>
      </c>
      <c r="L372">
        <v>1660.99</v>
      </c>
      <c r="M372">
        <v>4653.62</v>
      </c>
      <c r="N372" t="s">
        <v>24</v>
      </c>
    </row>
    <row r="373" spans="1:14" x14ac:dyDescent="0.3">
      <c r="A373">
        <v>9371</v>
      </c>
      <c r="B373" s="1">
        <v>45939</v>
      </c>
      <c r="C373">
        <v>2025</v>
      </c>
      <c r="D373" t="s">
        <v>33</v>
      </c>
      <c r="E373" t="s">
        <v>26</v>
      </c>
      <c r="F373" t="s">
        <v>27</v>
      </c>
      <c r="G373" t="s">
        <v>17</v>
      </c>
      <c r="H373" t="s">
        <v>52</v>
      </c>
      <c r="I373">
        <v>315</v>
      </c>
      <c r="J373">
        <v>300</v>
      </c>
      <c r="K373">
        <v>94500</v>
      </c>
      <c r="L373">
        <v>7315.02</v>
      </c>
      <c r="M373">
        <v>21115.22</v>
      </c>
      <c r="N373" t="s">
        <v>24</v>
      </c>
    </row>
    <row r="374" spans="1:14" x14ac:dyDescent="0.3">
      <c r="A374">
        <v>9372</v>
      </c>
      <c r="B374" s="1">
        <v>46016</v>
      </c>
      <c r="C374">
        <v>2025</v>
      </c>
      <c r="D374" t="s">
        <v>51</v>
      </c>
      <c r="E374" t="s">
        <v>30</v>
      </c>
      <c r="F374" t="s">
        <v>31</v>
      </c>
      <c r="G374" t="s">
        <v>22</v>
      </c>
      <c r="H374" t="s">
        <v>32</v>
      </c>
      <c r="I374">
        <v>350</v>
      </c>
      <c r="J374">
        <v>60</v>
      </c>
      <c r="K374">
        <v>21000</v>
      </c>
      <c r="L374">
        <v>1733.34</v>
      </c>
      <c r="M374">
        <v>5188.58</v>
      </c>
      <c r="N374" t="s">
        <v>24</v>
      </c>
    </row>
    <row r="375" spans="1:14" x14ac:dyDescent="0.3">
      <c r="A375">
        <v>9373</v>
      </c>
      <c r="B375" s="1">
        <v>45684</v>
      </c>
      <c r="C375">
        <v>2025</v>
      </c>
      <c r="D375" t="s">
        <v>29</v>
      </c>
      <c r="E375" t="s">
        <v>26</v>
      </c>
      <c r="F375" t="s">
        <v>48</v>
      </c>
      <c r="G375" t="s">
        <v>35</v>
      </c>
      <c r="H375" t="s">
        <v>36</v>
      </c>
      <c r="I375">
        <v>313</v>
      </c>
      <c r="J375">
        <v>35</v>
      </c>
      <c r="K375">
        <v>10955</v>
      </c>
      <c r="L375">
        <v>1030.49</v>
      </c>
      <c r="M375">
        <v>2046.32</v>
      </c>
      <c r="N375" t="s">
        <v>24</v>
      </c>
    </row>
    <row r="376" spans="1:14" x14ac:dyDescent="0.3">
      <c r="A376">
        <v>9374</v>
      </c>
      <c r="B376" s="1">
        <v>45963</v>
      </c>
      <c r="C376">
        <v>2025</v>
      </c>
      <c r="D376" t="s">
        <v>25</v>
      </c>
      <c r="E376" t="s">
        <v>30</v>
      </c>
      <c r="F376" t="s">
        <v>31</v>
      </c>
      <c r="G376" t="s">
        <v>22</v>
      </c>
      <c r="H376" t="s">
        <v>39</v>
      </c>
      <c r="I376">
        <v>203</v>
      </c>
      <c r="J376">
        <v>25</v>
      </c>
      <c r="K376">
        <v>5075</v>
      </c>
      <c r="L376">
        <v>256.18</v>
      </c>
      <c r="M376">
        <v>1198.25</v>
      </c>
      <c r="N376" t="s">
        <v>24</v>
      </c>
    </row>
    <row r="377" spans="1:14" x14ac:dyDescent="0.3">
      <c r="A377">
        <v>9375</v>
      </c>
      <c r="B377" s="1">
        <v>45925</v>
      </c>
      <c r="C377">
        <v>2025</v>
      </c>
      <c r="D377" t="s">
        <v>37</v>
      </c>
      <c r="E377" t="s">
        <v>26</v>
      </c>
      <c r="F377" t="s">
        <v>48</v>
      </c>
      <c r="G377" t="s">
        <v>35</v>
      </c>
      <c r="H377" t="s">
        <v>36</v>
      </c>
      <c r="I377">
        <v>357</v>
      </c>
      <c r="J377">
        <v>35</v>
      </c>
      <c r="K377">
        <v>12495</v>
      </c>
      <c r="L377">
        <v>948.34</v>
      </c>
      <c r="M377">
        <v>2683.12</v>
      </c>
      <c r="N377" t="s">
        <v>24</v>
      </c>
    </row>
    <row r="378" spans="1:14" x14ac:dyDescent="0.3">
      <c r="A378">
        <v>9376</v>
      </c>
      <c r="B378" s="1">
        <v>45834</v>
      </c>
      <c r="C378">
        <v>2025</v>
      </c>
      <c r="D378" t="s">
        <v>46</v>
      </c>
      <c r="E378" t="s">
        <v>30</v>
      </c>
      <c r="F378" t="s">
        <v>31</v>
      </c>
      <c r="G378" t="s">
        <v>22</v>
      </c>
      <c r="H378" t="s">
        <v>47</v>
      </c>
      <c r="I378">
        <v>324</v>
      </c>
      <c r="J378">
        <v>45</v>
      </c>
      <c r="K378">
        <v>14580</v>
      </c>
      <c r="L378">
        <v>1282.25</v>
      </c>
      <c r="M378">
        <v>2526.37</v>
      </c>
      <c r="N378" t="s">
        <v>19</v>
      </c>
    </row>
    <row r="379" spans="1:14" x14ac:dyDescent="0.3">
      <c r="A379">
        <v>9377</v>
      </c>
      <c r="B379" s="1">
        <v>45971</v>
      </c>
      <c r="C379">
        <v>2025</v>
      </c>
      <c r="D379" t="s">
        <v>25</v>
      </c>
      <c r="E379" t="s">
        <v>26</v>
      </c>
      <c r="F379" t="s">
        <v>27</v>
      </c>
      <c r="G379" t="s">
        <v>44</v>
      </c>
      <c r="H379" t="s">
        <v>50</v>
      </c>
      <c r="I379">
        <v>85</v>
      </c>
      <c r="J379">
        <v>150</v>
      </c>
      <c r="K379">
        <v>12750</v>
      </c>
      <c r="L379">
        <v>1272.77</v>
      </c>
      <c r="M379">
        <v>2617.58</v>
      </c>
      <c r="N379" t="s">
        <v>19</v>
      </c>
    </row>
    <row r="380" spans="1:14" x14ac:dyDescent="0.3">
      <c r="A380">
        <v>9378</v>
      </c>
      <c r="B380" s="1">
        <v>45788</v>
      </c>
      <c r="C380">
        <v>2025</v>
      </c>
      <c r="D380" t="s">
        <v>14</v>
      </c>
      <c r="E380" t="s">
        <v>15</v>
      </c>
      <c r="F380" t="s">
        <v>16</v>
      </c>
      <c r="G380" t="s">
        <v>35</v>
      </c>
      <c r="H380" t="s">
        <v>36</v>
      </c>
      <c r="I380">
        <v>54</v>
      </c>
      <c r="J380">
        <v>35</v>
      </c>
      <c r="K380">
        <v>1890</v>
      </c>
      <c r="L380">
        <v>152.35</v>
      </c>
      <c r="M380">
        <v>410.75</v>
      </c>
      <c r="N380" t="s">
        <v>24</v>
      </c>
    </row>
    <row r="381" spans="1:14" x14ac:dyDescent="0.3">
      <c r="A381">
        <v>9379</v>
      </c>
      <c r="B381" s="1">
        <v>45963</v>
      </c>
      <c r="C381">
        <v>2025</v>
      </c>
      <c r="D381" t="s">
        <v>25</v>
      </c>
      <c r="E381" t="s">
        <v>26</v>
      </c>
      <c r="F381" t="s">
        <v>34</v>
      </c>
      <c r="G381" t="s">
        <v>17</v>
      </c>
      <c r="H381" t="s">
        <v>18</v>
      </c>
      <c r="I381">
        <v>154</v>
      </c>
      <c r="J381">
        <v>350</v>
      </c>
      <c r="K381">
        <v>53900</v>
      </c>
      <c r="L381">
        <v>3130.56</v>
      </c>
      <c r="M381">
        <v>17634.2</v>
      </c>
      <c r="N381" t="s">
        <v>19</v>
      </c>
    </row>
    <row r="382" spans="1:14" x14ac:dyDescent="0.3">
      <c r="A382">
        <v>9380</v>
      </c>
      <c r="B382" s="1">
        <v>45739</v>
      </c>
      <c r="C382">
        <v>2025</v>
      </c>
      <c r="D382" t="s">
        <v>40</v>
      </c>
      <c r="E382" t="s">
        <v>30</v>
      </c>
      <c r="F382" t="s">
        <v>31</v>
      </c>
      <c r="G382" t="s">
        <v>44</v>
      </c>
      <c r="H382" t="s">
        <v>56</v>
      </c>
      <c r="I382">
        <v>279</v>
      </c>
      <c r="J382">
        <v>80</v>
      </c>
      <c r="K382">
        <v>22320</v>
      </c>
      <c r="L382">
        <v>1245.73</v>
      </c>
      <c r="M382">
        <v>6112.76</v>
      </c>
      <c r="N382" t="s">
        <v>19</v>
      </c>
    </row>
    <row r="383" spans="1:14" x14ac:dyDescent="0.3">
      <c r="A383">
        <v>9381</v>
      </c>
      <c r="B383" s="1">
        <v>45713</v>
      </c>
      <c r="C383">
        <v>2025</v>
      </c>
      <c r="D383" t="s">
        <v>42</v>
      </c>
      <c r="E383" t="s">
        <v>15</v>
      </c>
      <c r="F383" t="s">
        <v>16</v>
      </c>
      <c r="G383" t="s">
        <v>22</v>
      </c>
      <c r="H383" t="s">
        <v>39</v>
      </c>
      <c r="I383">
        <v>241</v>
      </c>
      <c r="J383">
        <v>25</v>
      </c>
      <c r="K383">
        <v>6025</v>
      </c>
      <c r="L383">
        <v>431.95</v>
      </c>
      <c r="M383">
        <v>1536.26</v>
      </c>
      <c r="N383" t="s">
        <v>19</v>
      </c>
    </row>
    <row r="384" spans="1:14" x14ac:dyDescent="0.3">
      <c r="A384">
        <v>9382</v>
      </c>
      <c r="B384" s="1">
        <v>45693</v>
      </c>
      <c r="C384">
        <v>2025</v>
      </c>
      <c r="D384" t="s">
        <v>42</v>
      </c>
      <c r="E384" t="s">
        <v>26</v>
      </c>
      <c r="F384" t="s">
        <v>48</v>
      </c>
      <c r="G384" t="s">
        <v>35</v>
      </c>
      <c r="H384" t="s">
        <v>36</v>
      </c>
      <c r="I384">
        <v>367</v>
      </c>
      <c r="J384">
        <v>35</v>
      </c>
      <c r="K384">
        <v>12845</v>
      </c>
      <c r="L384">
        <v>1001.31</v>
      </c>
      <c r="M384">
        <v>3519.59</v>
      </c>
      <c r="N384" t="s">
        <v>19</v>
      </c>
    </row>
    <row r="385" spans="1:14" x14ac:dyDescent="0.3">
      <c r="A385">
        <v>9383</v>
      </c>
      <c r="B385" s="1">
        <v>45852</v>
      </c>
      <c r="C385">
        <v>2025</v>
      </c>
      <c r="D385" t="s">
        <v>54</v>
      </c>
      <c r="E385" t="s">
        <v>30</v>
      </c>
      <c r="F385" t="s">
        <v>43</v>
      </c>
      <c r="G385" t="s">
        <v>17</v>
      </c>
      <c r="H385" t="s">
        <v>18</v>
      </c>
      <c r="I385">
        <v>42</v>
      </c>
      <c r="J385">
        <v>350</v>
      </c>
      <c r="K385">
        <v>14700</v>
      </c>
      <c r="L385">
        <v>1426.23</v>
      </c>
      <c r="M385">
        <v>4181.5</v>
      </c>
      <c r="N385" t="s">
        <v>24</v>
      </c>
    </row>
    <row r="386" spans="1:14" x14ac:dyDescent="0.3">
      <c r="A386">
        <v>9384</v>
      </c>
      <c r="B386" s="1">
        <v>45707</v>
      </c>
      <c r="C386">
        <v>2025</v>
      </c>
      <c r="D386" t="s">
        <v>42</v>
      </c>
      <c r="E386" t="s">
        <v>30</v>
      </c>
      <c r="F386" t="s">
        <v>43</v>
      </c>
      <c r="G386" t="s">
        <v>44</v>
      </c>
      <c r="H386" t="s">
        <v>45</v>
      </c>
      <c r="I386">
        <v>187</v>
      </c>
      <c r="J386">
        <v>55</v>
      </c>
      <c r="K386">
        <v>10285</v>
      </c>
      <c r="L386">
        <v>802.8</v>
      </c>
      <c r="M386">
        <v>1794.9</v>
      </c>
      <c r="N386" t="s">
        <v>19</v>
      </c>
    </row>
    <row r="387" spans="1:14" x14ac:dyDescent="0.3">
      <c r="A387">
        <v>9385</v>
      </c>
      <c r="B387" s="1">
        <v>45800</v>
      </c>
      <c r="C387">
        <v>2025</v>
      </c>
      <c r="D387" t="s">
        <v>14</v>
      </c>
      <c r="E387" t="s">
        <v>26</v>
      </c>
      <c r="F387" t="s">
        <v>53</v>
      </c>
      <c r="G387" t="s">
        <v>44</v>
      </c>
      <c r="H387" t="s">
        <v>50</v>
      </c>
      <c r="I387">
        <v>308</v>
      </c>
      <c r="J387">
        <v>150</v>
      </c>
      <c r="K387">
        <v>46200</v>
      </c>
      <c r="L387">
        <v>4337.47</v>
      </c>
      <c r="M387">
        <v>11478.31</v>
      </c>
      <c r="N387" t="s">
        <v>24</v>
      </c>
    </row>
    <row r="388" spans="1:14" x14ac:dyDescent="0.3">
      <c r="A388">
        <v>9386</v>
      </c>
      <c r="B388" s="1">
        <v>45747</v>
      </c>
      <c r="C388">
        <v>2025</v>
      </c>
      <c r="D388" t="s">
        <v>40</v>
      </c>
      <c r="E388" t="s">
        <v>26</v>
      </c>
      <c r="F388" t="s">
        <v>53</v>
      </c>
      <c r="G388" t="s">
        <v>22</v>
      </c>
      <c r="H388" t="s">
        <v>28</v>
      </c>
      <c r="I388">
        <v>298</v>
      </c>
      <c r="J388">
        <v>50</v>
      </c>
      <c r="K388">
        <v>14900</v>
      </c>
      <c r="L388">
        <v>1389.55</v>
      </c>
      <c r="M388">
        <v>4471.42</v>
      </c>
      <c r="N388" t="s">
        <v>24</v>
      </c>
    </row>
    <row r="389" spans="1:14" x14ac:dyDescent="0.3">
      <c r="A389">
        <v>9387</v>
      </c>
      <c r="B389" s="1">
        <v>45936</v>
      </c>
      <c r="C389">
        <v>2025</v>
      </c>
      <c r="D389" t="s">
        <v>33</v>
      </c>
      <c r="E389" t="s">
        <v>15</v>
      </c>
      <c r="F389" t="s">
        <v>21</v>
      </c>
      <c r="G389" t="s">
        <v>22</v>
      </c>
      <c r="H389" t="s">
        <v>32</v>
      </c>
      <c r="I389">
        <v>269</v>
      </c>
      <c r="J389">
        <v>60</v>
      </c>
      <c r="K389">
        <v>16140</v>
      </c>
      <c r="L389">
        <v>1326.49</v>
      </c>
      <c r="M389">
        <v>3574.81</v>
      </c>
      <c r="N389" t="s">
        <v>24</v>
      </c>
    </row>
    <row r="390" spans="1:14" x14ac:dyDescent="0.3">
      <c r="A390">
        <v>9388</v>
      </c>
      <c r="B390" s="1">
        <v>45801</v>
      </c>
      <c r="C390">
        <v>2025</v>
      </c>
      <c r="D390" t="s">
        <v>14</v>
      </c>
      <c r="E390" t="s">
        <v>30</v>
      </c>
      <c r="F390" t="s">
        <v>31</v>
      </c>
      <c r="G390" t="s">
        <v>22</v>
      </c>
      <c r="H390" t="s">
        <v>28</v>
      </c>
      <c r="I390">
        <v>149</v>
      </c>
      <c r="J390">
        <v>50</v>
      </c>
      <c r="K390">
        <v>7450</v>
      </c>
      <c r="L390">
        <v>647.66999999999996</v>
      </c>
      <c r="M390">
        <v>2131.0100000000002</v>
      </c>
      <c r="N390" t="s">
        <v>24</v>
      </c>
    </row>
    <row r="391" spans="1:14" x14ac:dyDescent="0.3">
      <c r="A391">
        <v>9389</v>
      </c>
      <c r="B391" s="1">
        <v>45999</v>
      </c>
      <c r="C391">
        <v>2025</v>
      </c>
      <c r="D391" t="s">
        <v>51</v>
      </c>
      <c r="E391" t="s">
        <v>30</v>
      </c>
      <c r="F391" t="s">
        <v>38</v>
      </c>
      <c r="G391" t="s">
        <v>17</v>
      </c>
      <c r="H391" t="s">
        <v>52</v>
      </c>
      <c r="I391">
        <v>446</v>
      </c>
      <c r="J391">
        <v>300</v>
      </c>
      <c r="K391">
        <v>133800</v>
      </c>
      <c r="L391">
        <v>8578.9699999999993</v>
      </c>
      <c r="M391">
        <v>32877.379999999997</v>
      </c>
      <c r="N391" t="s">
        <v>19</v>
      </c>
    </row>
    <row r="392" spans="1:14" x14ac:dyDescent="0.3">
      <c r="A392">
        <v>9390</v>
      </c>
      <c r="B392" s="1">
        <v>45704</v>
      </c>
      <c r="C392">
        <v>2025</v>
      </c>
      <c r="D392" t="s">
        <v>42</v>
      </c>
      <c r="E392" t="s">
        <v>26</v>
      </c>
      <c r="F392" t="s">
        <v>53</v>
      </c>
      <c r="G392" t="s">
        <v>22</v>
      </c>
      <c r="H392" t="s">
        <v>39</v>
      </c>
      <c r="I392">
        <v>366</v>
      </c>
      <c r="J392">
        <v>25</v>
      </c>
      <c r="K392">
        <v>9150</v>
      </c>
      <c r="L392">
        <v>758.16</v>
      </c>
      <c r="M392">
        <v>2403.25</v>
      </c>
      <c r="N392" t="s">
        <v>24</v>
      </c>
    </row>
    <row r="393" spans="1:14" x14ac:dyDescent="0.3">
      <c r="A393">
        <v>9391</v>
      </c>
      <c r="B393" s="1">
        <v>45731</v>
      </c>
      <c r="C393">
        <v>2025</v>
      </c>
      <c r="D393" t="s">
        <v>40</v>
      </c>
      <c r="E393" t="s">
        <v>26</v>
      </c>
      <c r="F393" t="s">
        <v>27</v>
      </c>
      <c r="G393" t="s">
        <v>22</v>
      </c>
      <c r="H393" t="s">
        <v>47</v>
      </c>
      <c r="I393">
        <v>365</v>
      </c>
      <c r="J393">
        <v>45</v>
      </c>
      <c r="K393">
        <v>16425</v>
      </c>
      <c r="L393">
        <v>1562.71</v>
      </c>
      <c r="M393">
        <v>4879.8100000000004</v>
      </c>
      <c r="N393" t="s">
        <v>24</v>
      </c>
    </row>
    <row r="394" spans="1:14" x14ac:dyDescent="0.3">
      <c r="A394">
        <v>9392</v>
      </c>
      <c r="B394" s="1">
        <v>45781</v>
      </c>
      <c r="C394">
        <v>2025</v>
      </c>
      <c r="D394" t="s">
        <v>14</v>
      </c>
      <c r="E394" t="s">
        <v>26</v>
      </c>
      <c r="F394" t="s">
        <v>48</v>
      </c>
      <c r="G394" t="s">
        <v>44</v>
      </c>
      <c r="H394" t="s">
        <v>45</v>
      </c>
      <c r="I394">
        <v>454</v>
      </c>
      <c r="J394">
        <v>55</v>
      </c>
      <c r="K394">
        <v>24970</v>
      </c>
      <c r="L394">
        <v>1426.6</v>
      </c>
      <c r="M394">
        <v>5823.47</v>
      </c>
      <c r="N394" t="s">
        <v>19</v>
      </c>
    </row>
    <row r="395" spans="1:14" x14ac:dyDescent="0.3">
      <c r="A395">
        <v>9393</v>
      </c>
      <c r="B395" s="1">
        <v>45761</v>
      </c>
      <c r="C395">
        <v>2025</v>
      </c>
      <c r="D395" t="s">
        <v>49</v>
      </c>
      <c r="E395" t="s">
        <v>30</v>
      </c>
      <c r="F395" t="s">
        <v>43</v>
      </c>
      <c r="G395" t="s">
        <v>35</v>
      </c>
      <c r="H395" t="s">
        <v>41</v>
      </c>
      <c r="I395">
        <v>337</v>
      </c>
      <c r="J395">
        <v>140</v>
      </c>
      <c r="K395">
        <v>47180</v>
      </c>
      <c r="L395">
        <v>4717.1000000000004</v>
      </c>
      <c r="M395">
        <v>9589.19</v>
      </c>
      <c r="N395" t="s">
        <v>19</v>
      </c>
    </row>
    <row r="396" spans="1:14" x14ac:dyDescent="0.3">
      <c r="A396">
        <v>9394</v>
      </c>
      <c r="B396" s="1">
        <v>46012</v>
      </c>
      <c r="C396">
        <v>2025</v>
      </c>
      <c r="D396" t="s">
        <v>51</v>
      </c>
      <c r="E396" t="s">
        <v>30</v>
      </c>
      <c r="F396" t="s">
        <v>38</v>
      </c>
      <c r="G396" t="s">
        <v>44</v>
      </c>
      <c r="H396" t="s">
        <v>50</v>
      </c>
      <c r="I396">
        <v>121</v>
      </c>
      <c r="J396">
        <v>150</v>
      </c>
      <c r="K396">
        <v>18150</v>
      </c>
      <c r="L396">
        <v>980.09</v>
      </c>
      <c r="M396">
        <v>5983.95</v>
      </c>
      <c r="N396" t="s">
        <v>24</v>
      </c>
    </row>
    <row r="397" spans="1:14" x14ac:dyDescent="0.3">
      <c r="A397">
        <v>9395</v>
      </c>
      <c r="B397" s="1">
        <v>45806</v>
      </c>
      <c r="C397">
        <v>2025</v>
      </c>
      <c r="D397" t="s">
        <v>14</v>
      </c>
      <c r="E397" t="s">
        <v>26</v>
      </c>
      <c r="F397" t="s">
        <v>34</v>
      </c>
      <c r="G397" t="s">
        <v>22</v>
      </c>
      <c r="H397" t="s">
        <v>47</v>
      </c>
      <c r="I397">
        <v>28</v>
      </c>
      <c r="J397">
        <v>45</v>
      </c>
      <c r="K397">
        <v>1260</v>
      </c>
      <c r="L397">
        <v>63.14</v>
      </c>
      <c r="M397">
        <v>375.61</v>
      </c>
      <c r="N397" t="s">
        <v>24</v>
      </c>
    </row>
    <row r="398" spans="1:14" x14ac:dyDescent="0.3">
      <c r="A398">
        <v>9396</v>
      </c>
      <c r="B398" s="1">
        <v>45897</v>
      </c>
      <c r="C398">
        <v>2025</v>
      </c>
      <c r="D398" t="s">
        <v>20</v>
      </c>
      <c r="E398" t="s">
        <v>26</v>
      </c>
      <c r="F398" t="s">
        <v>48</v>
      </c>
      <c r="G398" t="s">
        <v>22</v>
      </c>
      <c r="H398" t="s">
        <v>32</v>
      </c>
      <c r="I398">
        <v>145</v>
      </c>
      <c r="J398">
        <v>60</v>
      </c>
      <c r="K398">
        <v>8700</v>
      </c>
      <c r="L398">
        <v>489.15</v>
      </c>
      <c r="M398">
        <v>2810.6</v>
      </c>
      <c r="N398" t="s">
        <v>24</v>
      </c>
    </row>
    <row r="399" spans="1:14" x14ac:dyDescent="0.3">
      <c r="A399">
        <v>9397</v>
      </c>
      <c r="B399" s="1">
        <v>45979</v>
      </c>
      <c r="C399">
        <v>2025</v>
      </c>
      <c r="D399" t="s">
        <v>25</v>
      </c>
      <c r="E399" t="s">
        <v>30</v>
      </c>
      <c r="F399" t="s">
        <v>43</v>
      </c>
      <c r="G399" t="s">
        <v>44</v>
      </c>
      <c r="H399" t="s">
        <v>50</v>
      </c>
      <c r="I399">
        <v>436</v>
      </c>
      <c r="J399">
        <v>150</v>
      </c>
      <c r="K399">
        <v>65400</v>
      </c>
      <c r="L399">
        <v>3906.75</v>
      </c>
      <c r="M399">
        <v>22010.16</v>
      </c>
      <c r="N399" t="s">
        <v>24</v>
      </c>
    </row>
    <row r="400" spans="1:14" x14ac:dyDescent="0.3">
      <c r="A400">
        <v>9398</v>
      </c>
      <c r="B400" s="1">
        <v>45752</v>
      </c>
      <c r="C400">
        <v>2025</v>
      </c>
      <c r="D400" t="s">
        <v>49</v>
      </c>
      <c r="E400" t="s">
        <v>30</v>
      </c>
      <c r="F400" t="s">
        <v>31</v>
      </c>
      <c r="G400" t="s">
        <v>22</v>
      </c>
      <c r="H400" t="s">
        <v>28</v>
      </c>
      <c r="I400">
        <v>460</v>
      </c>
      <c r="J400">
        <v>50</v>
      </c>
      <c r="K400">
        <v>23000</v>
      </c>
      <c r="L400">
        <v>2038.57</v>
      </c>
      <c r="M400">
        <v>4898.1099999999997</v>
      </c>
      <c r="N400" t="s">
        <v>24</v>
      </c>
    </row>
    <row r="401" spans="1:14" x14ac:dyDescent="0.3">
      <c r="A401">
        <v>9399</v>
      </c>
      <c r="B401" s="1">
        <v>45706</v>
      </c>
      <c r="C401">
        <v>2025</v>
      </c>
      <c r="D401" t="s">
        <v>42</v>
      </c>
      <c r="E401" t="s">
        <v>26</v>
      </c>
      <c r="F401" t="s">
        <v>48</v>
      </c>
      <c r="G401" t="s">
        <v>22</v>
      </c>
      <c r="H401" t="s">
        <v>39</v>
      </c>
      <c r="I401">
        <v>427</v>
      </c>
      <c r="J401">
        <v>25</v>
      </c>
      <c r="K401">
        <v>10675</v>
      </c>
      <c r="L401">
        <v>948.03</v>
      </c>
      <c r="M401">
        <v>2493.4</v>
      </c>
      <c r="N401" t="s">
        <v>24</v>
      </c>
    </row>
    <row r="402" spans="1:14" x14ac:dyDescent="0.3">
      <c r="A402">
        <v>9400</v>
      </c>
      <c r="B402" s="1">
        <v>45998</v>
      </c>
      <c r="C402">
        <v>2025</v>
      </c>
      <c r="D402" t="s">
        <v>51</v>
      </c>
      <c r="E402" t="s">
        <v>26</v>
      </c>
      <c r="F402" t="s">
        <v>34</v>
      </c>
      <c r="G402" t="s">
        <v>22</v>
      </c>
      <c r="H402" t="s">
        <v>23</v>
      </c>
      <c r="I402">
        <v>32</v>
      </c>
      <c r="J402">
        <v>420</v>
      </c>
      <c r="K402">
        <v>13440</v>
      </c>
      <c r="L402">
        <v>804.45</v>
      </c>
      <c r="M402">
        <v>4138.71</v>
      </c>
      <c r="N402" t="s">
        <v>24</v>
      </c>
    </row>
    <row r="403" spans="1:14" x14ac:dyDescent="0.3">
      <c r="A403">
        <v>9401</v>
      </c>
      <c r="B403" s="1">
        <v>45967</v>
      </c>
      <c r="C403">
        <v>2025</v>
      </c>
      <c r="D403" t="s">
        <v>25</v>
      </c>
      <c r="E403" t="s">
        <v>26</v>
      </c>
      <c r="F403" t="s">
        <v>48</v>
      </c>
      <c r="G403" t="s">
        <v>35</v>
      </c>
      <c r="H403" t="s">
        <v>36</v>
      </c>
      <c r="I403">
        <v>418</v>
      </c>
      <c r="J403">
        <v>35</v>
      </c>
      <c r="K403">
        <v>14630</v>
      </c>
      <c r="L403">
        <v>909.8</v>
      </c>
      <c r="M403">
        <v>2888.84</v>
      </c>
      <c r="N403" t="s">
        <v>19</v>
      </c>
    </row>
    <row r="404" spans="1:14" x14ac:dyDescent="0.3">
      <c r="A404">
        <v>9402</v>
      </c>
      <c r="B404" s="1">
        <v>45728</v>
      </c>
      <c r="C404">
        <v>2025</v>
      </c>
      <c r="D404" t="s">
        <v>40</v>
      </c>
      <c r="E404" t="s">
        <v>26</v>
      </c>
      <c r="F404" t="s">
        <v>27</v>
      </c>
      <c r="G404" t="s">
        <v>22</v>
      </c>
      <c r="H404" t="s">
        <v>32</v>
      </c>
      <c r="I404">
        <v>412</v>
      </c>
      <c r="J404">
        <v>60</v>
      </c>
      <c r="K404">
        <v>24720</v>
      </c>
      <c r="L404">
        <v>1876.5</v>
      </c>
      <c r="M404">
        <v>5040.58</v>
      </c>
      <c r="N404" t="s">
        <v>24</v>
      </c>
    </row>
    <row r="405" spans="1:14" x14ac:dyDescent="0.3">
      <c r="A405">
        <v>9403</v>
      </c>
      <c r="B405" s="1">
        <v>45753</v>
      </c>
      <c r="C405">
        <v>2025</v>
      </c>
      <c r="D405" t="s">
        <v>49</v>
      </c>
      <c r="E405" t="s">
        <v>30</v>
      </c>
      <c r="F405" t="s">
        <v>31</v>
      </c>
      <c r="G405" t="s">
        <v>22</v>
      </c>
      <c r="H405" t="s">
        <v>23</v>
      </c>
      <c r="I405">
        <v>120</v>
      </c>
      <c r="J405">
        <v>420</v>
      </c>
      <c r="K405">
        <v>50400</v>
      </c>
      <c r="L405">
        <v>4344.6899999999996</v>
      </c>
      <c r="M405">
        <v>13091.75</v>
      </c>
      <c r="N405" t="s">
        <v>24</v>
      </c>
    </row>
    <row r="406" spans="1:14" x14ac:dyDescent="0.3">
      <c r="A406">
        <v>9404</v>
      </c>
      <c r="B406" s="1">
        <v>45811</v>
      </c>
      <c r="C406">
        <v>2025</v>
      </c>
      <c r="D406" t="s">
        <v>46</v>
      </c>
      <c r="E406" t="s">
        <v>26</v>
      </c>
      <c r="F406" t="s">
        <v>34</v>
      </c>
      <c r="G406" t="s">
        <v>22</v>
      </c>
      <c r="H406" t="s">
        <v>47</v>
      </c>
      <c r="I406">
        <v>379</v>
      </c>
      <c r="J406">
        <v>45</v>
      </c>
      <c r="K406">
        <v>17055</v>
      </c>
      <c r="L406">
        <v>1181.6300000000001</v>
      </c>
      <c r="M406">
        <v>5620.3</v>
      </c>
      <c r="N406" t="s">
        <v>24</v>
      </c>
    </row>
    <row r="407" spans="1:14" x14ac:dyDescent="0.3">
      <c r="A407">
        <v>9405</v>
      </c>
      <c r="B407" s="1">
        <v>45877</v>
      </c>
      <c r="C407">
        <v>2025</v>
      </c>
      <c r="D407" t="s">
        <v>20</v>
      </c>
      <c r="E407" t="s">
        <v>26</v>
      </c>
      <c r="F407" t="s">
        <v>48</v>
      </c>
      <c r="G407" t="s">
        <v>44</v>
      </c>
      <c r="H407" t="s">
        <v>50</v>
      </c>
      <c r="I407">
        <v>14</v>
      </c>
      <c r="J407">
        <v>150</v>
      </c>
      <c r="K407">
        <v>2100</v>
      </c>
      <c r="L407">
        <v>204.01</v>
      </c>
      <c r="M407">
        <v>324.12</v>
      </c>
      <c r="N407" t="s">
        <v>19</v>
      </c>
    </row>
    <row r="408" spans="1:14" x14ac:dyDescent="0.3">
      <c r="A408">
        <v>9406</v>
      </c>
      <c r="B408" s="1">
        <v>46022</v>
      </c>
      <c r="C408">
        <v>2025</v>
      </c>
      <c r="D408" t="s">
        <v>51</v>
      </c>
      <c r="E408" t="s">
        <v>30</v>
      </c>
      <c r="F408" t="s">
        <v>31</v>
      </c>
      <c r="G408" t="s">
        <v>17</v>
      </c>
      <c r="H408" t="s">
        <v>55</v>
      </c>
      <c r="I408">
        <v>334</v>
      </c>
      <c r="J408">
        <v>120</v>
      </c>
      <c r="K408">
        <v>40080</v>
      </c>
      <c r="L408">
        <v>2188.12</v>
      </c>
      <c r="M408">
        <v>8690.0499999999993</v>
      </c>
      <c r="N408" t="s">
        <v>19</v>
      </c>
    </row>
    <row r="409" spans="1:14" x14ac:dyDescent="0.3">
      <c r="A409">
        <v>9407</v>
      </c>
      <c r="B409" s="1">
        <v>45765</v>
      </c>
      <c r="C409">
        <v>2025</v>
      </c>
      <c r="D409" t="s">
        <v>49</v>
      </c>
      <c r="E409" t="s">
        <v>26</v>
      </c>
      <c r="F409" t="s">
        <v>27</v>
      </c>
      <c r="G409" t="s">
        <v>44</v>
      </c>
      <c r="H409" t="s">
        <v>45</v>
      </c>
      <c r="I409">
        <v>300</v>
      </c>
      <c r="J409">
        <v>55</v>
      </c>
      <c r="K409">
        <v>16500</v>
      </c>
      <c r="L409">
        <v>1088.46</v>
      </c>
      <c r="M409">
        <v>4174.95</v>
      </c>
      <c r="N409" t="s">
        <v>24</v>
      </c>
    </row>
    <row r="410" spans="1:14" x14ac:dyDescent="0.3">
      <c r="A410">
        <v>9408</v>
      </c>
      <c r="B410" s="1">
        <v>45756</v>
      </c>
      <c r="C410">
        <v>2025</v>
      </c>
      <c r="D410" t="s">
        <v>49</v>
      </c>
      <c r="E410" t="s">
        <v>30</v>
      </c>
      <c r="F410" t="s">
        <v>31</v>
      </c>
      <c r="G410" t="s">
        <v>17</v>
      </c>
      <c r="H410" t="s">
        <v>18</v>
      </c>
      <c r="I410">
        <v>231</v>
      </c>
      <c r="J410">
        <v>350</v>
      </c>
      <c r="K410">
        <v>80850</v>
      </c>
      <c r="L410">
        <v>4747.8</v>
      </c>
      <c r="M410">
        <v>16206.69</v>
      </c>
      <c r="N410" t="s">
        <v>19</v>
      </c>
    </row>
    <row r="411" spans="1:14" x14ac:dyDescent="0.3">
      <c r="A411">
        <v>9409</v>
      </c>
      <c r="B411" s="1">
        <v>46003</v>
      </c>
      <c r="C411">
        <v>2025</v>
      </c>
      <c r="D411" t="s">
        <v>51</v>
      </c>
      <c r="E411" t="s">
        <v>26</v>
      </c>
      <c r="F411" t="s">
        <v>48</v>
      </c>
      <c r="G411" t="s">
        <v>22</v>
      </c>
      <c r="H411" t="s">
        <v>39</v>
      </c>
      <c r="I411">
        <v>324</v>
      </c>
      <c r="J411">
        <v>25</v>
      </c>
      <c r="K411">
        <v>8100</v>
      </c>
      <c r="L411">
        <v>542.30999999999995</v>
      </c>
      <c r="M411">
        <v>2334.79</v>
      </c>
      <c r="N411" t="s">
        <v>19</v>
      </c>
    </row>
    <row r="412" spans="1:14" x14ac:dyDescent="0.3">
      <c r="A412">
        <v>9410</v>
      </c>
      <c r="B412" s="1">
        <v>45727</v>
      </c>
      <c r="C412">
        <v>2025</v>
      </c>
      <c r="D412" t="s">
        <v>40</v>
      </c>
      <c r="E412" t="s">
        <v>26</v>
      </c>
      <c r="F412" t="s">
        <v>34</v>
      </c>
      <c r="G412" t="s">
        <v>22</v>
      </c>
      <c r="H412" t="s">
        <v>32</v>
      </c>
      <c r="I412">
        <v>203</v>
      </c>
      <c r="J412">
        <v>60</v>
      </c>
      <c r="K412">
        <v>12180</v>
      </c>
      <c r="L412">
        <v>947.94</v>
      </c>
      <c r="M412">
        <v>2760.62</v>
      </c>
      <c r="N412" t="s">
        <v>24</v>
      </c>
    </row>
    <row r="413" spans="1:14" x14ac:dyDescent="0.3">
      <c r="A413">
        <v>9411</v>
      </c>
      <c r="B413" s="1">
        <v>45884</v>
      </c>
      <c r="C413">
        <v>2025</v>
      </c>
      <c r="D413" t="s">
        <v>20</v>
      </c>
      <c r="E413" t="s">
        <v>15</v>
      </c>
      <c r="F413" t="s">
        <v>16</v>
      </c>
      <c r="G413" t="s">
        <v>35</v>
      </c>
      <c r="H413" t="s">
        <v>41</v>
      </c>
      <c r="I413">
        <v>354</v>
      </c>
      <c r="J413">
        <v>140</v>
      </c>
      <c r="K413">
        <v>49560</v>
      </c>
      <c r="L413">
        <v>3871.37</v>
      </c>
      <c r="M413">
        <v>13249.62</v>
      </c>
      <c r="N413" t="s">
        <v>24</v>
      </c>
    </row>
    <row r="414" spans="1:14" x14ac:dyDescent="0.3">
      <c r="A414">
        <v>9412</v>
      </c>
      <c r="B414" s="1">
        <v>45744</v>
      </c>
      <c r="C414">
        <v>2025</v>
      </c>
      <c r="D414" t="s">
        <v>40</v>
      </c>
      <c r="E414" t="s">
        <v>15</v>
      </c>
      <c r="F414" t="s">
        <v>21</v>
      </c>
      <c r="G414" t="s">
        <v>22</v>
      </c>
      <c r="H414" t="s">
        <v>23</v>
      </c>
      <c r="I414">
        <v>94</v>
      </c>
      <c r="J414">
        <v>420</v>
      </c>
      <c r="K414">
        <v>39480</v>
      </c>
      <c r="L414">
        <v>3758.4</v>
      </c>
      <c r="M414">
        <v>9961.83</v>
      </c>
      <c r="N414" t="s">
        <v>24</v>
      </c>
    </row>
    <row r="415" spans="1:14" x14ac:dyDescent="0.3">
      <c r="A415">
        <v>9413</v>
      </c>
      <c r="B415" s="1">
        <v>45839</v>
      </c>
      <c r="C415">
        <v>2025</v>
      </c>
      <c r="D415" t="s">
        <v>54</v>
      </c>
      <c r="E415" t="s">
        <v>26</v>
      </c>
      <c r="F415" t="s">
        <v>27</v>
      </c>
      <c r="G415" t="s">
        <v>17</v>
      </c>
      <c r="H415" t="s">
        <v>55</v>
      </c>
      <c r="I415">
        <v>216</v>
      </c>
      <c r="J415">
        <v>120</v>
      </c>
      <c r="K415">
        <v>25920</v>
      </c>
      <c r="L415">
        <v>2243.56</v>
      </c>
      <c r="M415">
        <v>5311.76</v>
      </c>
      <c r="N415" t="s">
        <v>19</v>
      </c>
    </row>
    <row r="416" spans="1:14" x14ac:dyDescent="0.3">
      <c r="A416">
        <v>9414</v>
      </c>
      <c r="B416" s="1">
        <v>45767</v>
      </c>
      <c r="C416">
        <v>2025</v>
      </c>
      <c r="D416" t="s">
        <v>49</v>
      </c>
      <c r="E416" t="s">
        <v>15</v>
      </c>
      <c r="F416" t="s">
        <v>21</v>
      </c>
      <c r="G416" t="s">
        <v>22</v>
      </c>
      <c r="H416" t="s">
        <v>28</v>
      </c>
      <c r="I416">
        <v>170</v>
      </c>
      <c r="J416">
        <v>50</v>
      </c>
      <c r="K416">
        <v>8500</v>
      </c>
      <c r="L416">
        <v>581.41</v>
      </c>
      <c r="M416">
        <v>1754.45</v>
      </c>
      <c r="N416" t="s">
        <v>24</v>
      </c>
    </row>
    <row r="417" spans="1:14" x14ac:dyDescent="0.3">
      <c r="A417">
        <v>9415</v>
      </c>
      <c r="B417" s="1">
        <v>45700</v>
      </c>
      <c r="C417">
        <v>2025</v>
      </c>
      <c r="D417" t="s">
        <v>42</v>
      </c>
      <c r="E417" t="s">
        <v>30</v>
      </c>
      <c r="F417" t="s">
        <v>31</v>
      </c>
      <c r="G417" t="s">
        <v>17</v>
      </c>
      <c r="H417" t="s">
        <v>18</v>
      </c>
      <c r="I417">
        <v>253</v>
      </c>
      <c r="J417">
        <v>350</v>
      </c>
      <c r="K417">
        <v>88550</v>
      </c>
      <c r="L417">
        <v>7136.63</v>
      </c>
      <c r="M417">
        <v>27415.94</v>
      </c>
      <c r="N417" t="s">
        <v>19</v>
      </c>
    </row>
    <row r="418" spans="1:14" x14ac:dyDescent="0.3">
      <c r="A418">
        <v>9416</v>
      </c>
      <c r="B418" s="1">
        <v>45851</v>
      </c>
      <c r="C418">
        <v>2025</v>
      </c>
      <c r="D418" t="s">
        <v>54</v>
      </c>
      <c r="E418" t="s">
        <v>30</v>
      </c>
      <c r="F418" t="s">
        <v>38</v>
      </c>
      <c r="G418" t="s">
        <v>22</v>
      </c>
      <c r="H418" t="s">
        <v>23</v>
      </c>
      <c r="I418">
        <v>170</v>
      </c>
      <c r="J418">
        <v>420</v>
      </c>
      <c r="K418">
        <v>71400</v>
      </c>
      <c r="L418">
        <v>5483.83</v>
      </c>
      <c r="M418">
        <v>20771.810000000001</v>
      </c>
      <c r="N418" t="s">
        <v>24</v>
      </c>
    </row>
    <row r="419" spans="1:14" x14ac:dyDescent="0.3">
      <c r="A419">
        <v>9417</v>
      </c>
      <c r="B419" s="1">
        <v>45958</v>
      </c>
      <c r="C419">
        <v>2025</v>
      </c>
      <c r="D419" t="s">
        <v>33</v>
      </c>
      <c r="E419" t="s">
        <v>15</v>
      </c>
      <c r="F419" t="s">
        <v>16</v>
      </c>
      <c r="G419" t="s">
        <v>17</v>
      </c>
      <c r="H419" t="s">
        <v>18</v>
      </c>
      <c r="I419">
        <v>246</v>
      </c>
      <c r="J419">
        <v>350</v>
      </c>
      <c r="K419">
        <v>86100</v>
      </c>
      <c r="L419">
        <v>7691.69</v>
      </c>
      <c r="M419">
        <v>14890.52</v>
      </c>
      <c r="N419" t="s">
        <v>19</v>
      </c>
    </row>
    <row r="420" spans="1:14" x14ac:dyDescent="0.3">
      <c r="A420">
        <v>9418</v>
      </c>
      <c r="B420" s="1">
        <v>45851</v>
      </c>
      <c r="C420">
        <v>2025</v>
      </c>
      <c r="D420" t="s">
        <v>54</v>
      </c>
      <c r="E420" t="s">
        <v>26</v>
      </c>
      <c r="F420" t="s">
        <v>48</v>
      </c>
      <c r="G420" t="s">
        <v>17</v>
      </c>
      <c r="H420" t="s">
        <v>18</v>
      </c>
      <c r="I420">
        <v>20</v>
      </c>
      <c r="J420">
        <v>350</v>
      </c>
      <c r="K420">
        <v>7000</v>
      </c>
      <c r="L420">
        <v>610.29</v>
      </c>
      <c r="M420">
        <v>1781.35</v>
      </c>
      <c r="N420" t="s">
        <v>24</v>
      </c>
    </row>
    <row r="421" spans="1:14" x14ac:dyDescent="0.3">
      <c r="A421">
        <v>9419</v>
      </c>
      <c r="B421" s="1">
        <v>45830</v>
      </c>
      <c r="C421">
        <v>2025</v>
      </c>
      <c r="D421" t="s">
        <v>46</v>
      </c>
      <c r="E421" t="s">
        <v>30</v>
      </c>
      <c r="F421" t="s">
        <v>31</v>
      </c>
      <c r="G421" t="s">
        <v>17</v>
      </c>
      <c r="H421" t="s">
        <v>55</v>
      </c>
      <c r="I421">
        <v>78</v>
      </c>
      <c r="J421">
        <v>120</v>
      </c>
      <c r="K421">
        <v>9360</v>
      </c>
      <c r="L421">
        <v>740.64</v>
      </c>
      <c r="M421">
        <v>1668.4</v>
      </c>
      <c r="N421" t="s">
        <v>19</v>
      </c>
    </row>
    <row r="422" spans="1:14" x14ac:dyDescent="0.3">
      <c r="A422">
        <v>9420</v>
      </c>
      <c r="B422" s="1">
        <v>45853</v>
      </c>
      <c r="C422">
        <v>2025</v>
      </c>
      <c r="D422" t="s">
        <v>54</v>
      </c>
      <c r="E422" t="s">
        <v>15</v>
      </c>
      <c r="F422" t="s">
        <v>21</v>
      </c>
      <c r="G422" t="s">
        <v>35</v>
      </c>
      <c r="H422" t="s">
        <v>36</v>
      </c>
      <c r="I422">
        <v>350</v>
      </c>
      <c r="J422">
        <v>35</v>
      </c>
      <c r="K422">
        <v>12250</v>
      </c>
      <c r="L422">
        <v>1012.18</v>
      </c>
      <c r="M422">
        <v>2455.9499999999998</v>
      </c>
      <c r="N422" t="s">
        <v>24</v>
      </c>
    </row>
    <row r="423" spans="1:14" x14ac:dyDescent="0.3">
      <c r="A423">
        <v>9421</v>
      </c>
      <c r="B423" s="1">
        <v>45673</v>
      </c>
      <c r="C423">
        <v>2025</v>
      </c>
      <c r="D423" t="s">
        <v>29</v>
      </c>
      <c r="E423" t="s">
        <v>15</v>
      </c>
      <c r="F423" t="s">
        <v>21</v>
      </c>
      <c r="G423" t="s">
        <v>22</v>
      </c>
      <c r="H423" t="s">
        <v>23</v>
      </c>
      <c r="I423">
        <v>398</v>
      </c>
      <c r="J423">
        <v>420</v>
      </c>
      <c r="K423">
        <v>167160</v>
      </c>
      <c r="L423">
        <v>12427.58</v>
      </c>
      <c r="M423">
        <v>52213.9</v>
      </c>
      <c r="N423" t="s">
        <v>19</v>
      </c>
    </row>
    <row r="424" spans="1:14" x14ac:dyDescent="0.3">
      <c r="A424">
        <v>9422</v>
      </c>
      <c r="B424" s="1">
        <v>45837</v>
      </c>
      <c r="C424">
        <v>2025</v>
      </c>
      <c r="D424" t="s">
        <v>46</v>
      </c>
      <c r="E424" t="s">
        <v>30</v>
      </c>
      <c r="F424" t="s">
        <v>38</v>
      </c>
      <c r="G424" t="s">
        <v>22</v>
      </c>
      <c r="H424" t="s">
        <v>23</v>
      </c>
      <c r="I424">
        <v>116</v>
      </c>
      <c r="J424">
        <v>420</v>
      </c>
      <c r="K424">
        <v>48720</v>
      </c>
      <c r="L424">
        <v>3623.26</v>
      </c>
      <c r="M424">
        <v>11894.89</v>
      </c>
      <c r="N424" t="s">
        <v>19</v>
      </c>
    </row>
    <row r="425" spans="1:14" x14ac:dyDescent="0.3">
      <c r="A425">
        <v>9423</v>
      </c>
      <c r="B425" s="1">
        <v>45937</v>
      </c>
      <c r="C425">
        <v>2025</v>
      </c>
      <c r="D425" t="s">
        <v>33</v>
      </c>
      <c r="E425" t="s">
        <v>26</v>
      </c>
      <c r="F425" t="s">
        <v>27</v>
      </c>
      <c r="G425" t="s">
        <v>35</v>
      </c>
      <c r="H425" t="s">
        <v>41</v>
      </c>
      <c r="I425">
        <v>169</v>
      </c>
      <c r="J425">
        <v>140</v>
      </c>
      <c r="K425">
        <v>23660</v>
      </c>
      <c r="L425">
        <v>1204.08</v>
      </c>
      <c r="M425">
        <v>7769.61</v>
      </c>
      <c r="N425" t="s">
        <v>19</v>
      </c>
    </row>
    <row r="426" spans="1:14" x14ac:dyDescent="0.3">
      <c r="A426">
        <v>9424</v>
      </c>
      <c r="B426" s="1">
        <v>45734</v>
      </c>
      <c r="C426">
        <v>2025</v>
      </c>
      <c r="D426" t="s">
        <v>40</v>
      </c>
      <c r="E426" t="s">
        <v>30</v>
      </c>
      <c r="F426" t="s">
        <v>38</v>
      </c>
      <c r="G426" t="s">
        <v>44</v>
      </c>
      <c r="H426" t="s">
        <v>45</v>
      </c>
      <c r="I426">
        <v>410</v>
      </c>
      <c r="J426">
        <v>55</v>
      </c>
      <c r="K426">
        <v>22550</v>
      </c>
      <c r="L426">
        <v>1145.3399999999999</v>
      </c>
      <c r="M426">
        <v>6574.98</v>
      </c>
      <c r="N426" t="s">
        <v>24</v>
      </c>
    </row>
    <row r="427" spans="1:14" x14ac:dyDescent="0.3">
      <c r="A427">
        <v>9425</v>
      </c>
      <c r="B427" s="1">
        <v>45789</v>
      </c>
      <c r="C427">
        <v>2025</v>
      </c>
      <c r="D427" t="s">
        <v>14</v>
      </c>
      <c r="E427" t="s">
        <v>30</v>
      </c>
      <c r="F427" t="s">
        <v>31</v>
      </c>
      <c r="G427" t="s">
        <v>35</v>
      </c>
      <c r="H427" t="s">
        <v>36</v>
      </c>
      <c r="I427">
        <v>397</v>
      </c>
      <c r="J427">
        <v>35</v>
      </c>
      <c r="K427">
        <v>13895</v>
      </c>
      <c r="L427">
        <v>1206.3499999999999</v>
      </c>
      <c r="M427">
        <v>3289.26</v>
      </c>
      <c r="N427" t="s">
        <v>19</v>
      </c>
    </row>
    <row r="428" spans="1:14" x14ac:dyDescent="0.3">
      <c r="A428">
        <v>9426</v>
      </c>
      <c r="B428" s="1">
        <v>45735</v>
      </c>
      <c r="C428">
        <v>2025</v>
      </c>
      <c r="D428" t="s">
        <v>40</v>
      </c>
      <c r="E428" t="s">
        <v>26</v>
      </c>
      <c r="F428" t="s">
        <v>27</v>
      </c>
      <c r="G428" t="s">
        <v>35</v>
      </c>
      <c r="H428" t="s">
        <v>36</v>
      </c>
      <c r="I428">
        <v>282</v>
      </c>
      <c r="J428">
        <v>35</v>
      </c>
      <c r="K428">
        <v>9870</v>
      </c>
      <c r="L428">
        <v>895.36</v>
      </c>
      <c r="M428">
        <v>2369.2399999999998</v>
      </c>
      <c r="N428" t="s">
        <v>19</v>
      </c>
    </row>
    <row r="429" spans="1:14" x14ac:dyDescent="0.3">
      <c r="A429">
        <v>9427</v>
      </c>
      <c r="B429" s="1">
        <v>45671</v>
      </c>
      <c r="C429">
        <v>2025</v>
      </c>
      <c r="D429" t="s">
        <v>29</v>
      </c>
      <c r="E429" t="s">
        <v>26</v>
      </c>
      <c r="F429" t="s">
        <v>53</v>
      </c>
      <c r="G429" t="s">
        <v>17</v>
      </c>
      <c r="H429" t="s">
        <v>18</v>
      </c>
      <c r="I429">
        <v>208</v>
      </c>
      <c r="J429">
        <v>350</v>
      </c>
      <c r="K429">
        <v>72800</v>
      </c>
      <c r="L429">
        <v>7022.86</v>
      </c>
      <c r="M429">
        <v>19055.669999999998</v>
      </c>
      <c r="N429" t="s">
        <v>24</v>
      </c>
    </row>
    <row r="430" spans="1:14" x14ac:dyDescent="0.3">
      <c r="A430">
        <v>9428</v>
      </c>
      <c r="B430" s="1">
        <v>45923</v>
      </c>
      <c r="C430">
        <v>2025</v>
      </c>
      <c r="D430" t="s">
        <v>37</v>
      </c>
      <c r="E430" t="s">
        <v>30</v>
      </c>
      <c r="F430" t="s">
        <v>31</v>
      </c>
      <c r="G430" t="s">
        <v>44</v>
      </c>
      <c r="H430" t="s">
        <v>45</v>
      </c>
      <c r="I430">
        <v>235</v>
      </c>
      <c r="J430">
        <v>55</v>
      </c>
      <c r="K430">
        <v>12925</v>
      </c>
      <c r="L430">
        <v>1225.08</v>
      </c>
      <c r="M430">
        <v>2369.4299999999998</v>
      </c>
      <c r="N430" t="s">
        <v>24</v>
      </c>
    </row>
    <row r="431" spans="1:14" x14ac:dyDescent="0.3">
      <c r="A431">
        <v>9429</v>
      </c>
      <c r="B431" s="1">
        <v>45911</v>
      </c>
      <c r="C431">
        <v>2025</v>
      </c>
      <c r="D431" t="s">
        <v>37</v>
      </c>
      <c r="E431" t="s">
        <v>30</v>
      </c>
      <c r="F431" t="s">
        <v>38</v>
      </c>
      <c r="G431" t="s">
        <v>44</v>
      </c>
      <c r="H431" t="s">
        <v>50</v>
      </c>
      <c r="I431">
        <v>446</v>
      </c>
      <c r="J431">
        <v>150</v>
      </c>
      <c r="K431">
        <v>66900</v>
      </c>
      <c r="L431">
        <v>6011.4</v>
      </c>
      <c r="M431">
        <v>14381.14</v>
      </c>
      <c r="N431" t="s">
        <v>24</v>
      </c>
    </row>
    <row r="432" spans="1:14" x14ac:dyDescent="0.3">
      <c r="A432">
        <v>9430</v>
      </c>
      <c r="B432" s="1">
        <v>45692</v>
      </c>
      <c r="C432">
        <v>2025</v>
      </c>
      <c r="D432" t="s">
        <v>42</v>
      </c>
      <c r="E432" t="s">
        <v>30</v>
      </c>
      <c r="F432" t="s">
        <v>43</v>
      </c>
      <c r="G432" t="s">
        <v>44</v>
      </c>
      <c r="H432" t="s">
        <v>50</v>
      </c>
      <c r="I432">
        <v>214</v>
      </c>
      <c r="J432">
        <v>150</v>
      </c>
      <c r="K432">
        <v>32100</v>
      </c>
      <c r="L432">
        <v>1633.07</v>
      </c>
      <c r="M432">
        <v>8461.64</v>
      </c>
      <c r="N432" t="s">
        <v>24</v>
      </c>
    </row>
    <row r="433" spans="1:14" x14ac:dyDescent="0.3">
      <c r="A433">
        <v>9431</v>
      </c>
      <c r="B433" s="1">
        <v>45870</v>
      </c>
      <c r="C433">
        <v>2025</v>
      </c>
      <c r="D433" t="s">
        <v>20</v>
      </c>
      <c r="E433" t="s">
        <v>30</v>
      </c>
      <c r="F433" t="s">
        <v>43</v>
      </c>
      <c r="G433" t="s">
        <v>44</v>
      </c>
      <c r="H433" t="s">
        <v>56</v>
      </c>
      <c r="I433">
        <v>479</v>
      </c>
      <c r="J433">
        <v>80</v>
      </c>
      <c r="K433">
        <v>38320</v>
      </c>
      <c r="L433">
        <v>3817.07</v>
      </c>
      <c r="M433">
        <v>9599.49</v>
      </c>
      <c r="N433" t="s">
        <v>24</v>
      </c>
    </row>
    <row r="434" spans="1:14" x14ac:dyDescent="0.3">
      <c r="A434">
        <v>9432</v>
      </c>
      <c r="B434" s="1">
        <v>45897</v>
      </c>
      <c r="C434">
        <v>2025</v>
      </c>
      <c r="D434" t="s">
        <v>20</v>
      </c>
      <c r="E434" t="s">
        <v>26</v>
      </c>
      <c r="F434" t="s">
        <v>34</v>
      </c>
      <c r="G434" t="s">
        <v>44</v>
      </c>
      <c r="H434" t="s">
        <v>56</v>
      </c>
      <c r="I434">
        <v>407</v>
      </c>
      <c r="J434">
        <v>80</v>
      </c>
      <c r="K434">
        <v>32560</v>
      </c>
      <c r="L434">
        <v>2758.19</v>
      </c>
      <c r="M434">
        <v>7546.24</v>
      </c>
      <c r="N434" t="s">
        <v>19</v>
      </c>
    </row>
    <row r="435" spans="1:14" x14ac:dyDescent="0.3">
      <c r="A435">
        <v>9433</v>
      </c>
      <c r="B435" s="1">
        <v>45870</v>
      </c>
      <c r="C435">
        <v>2025</v>
      </c>
      <c r="D435" t="s">
        <v>20</v>
      </c>
      <c r="E435" t="s">
        <v>30</v>
      </c>
      <c r="F435" t="s">
        <v>38</v>
      </c>
      <c r="G435" t="s">
        <v>22</v>
      </c>
      <c r="H435" t="s">
        <v>23</v>
      </c>
      <c r="I435">
        <v>258</v>
      </c>
      <c r="J435">
        <v>420</v>
      </c>
      <c r="K435">
        <v>108360</v>
      </c>
      <c r="L435">
        <v>8500.73</v>
      </c>
      <c r="M435">
        <v>20019.78</v>
      </c>
      <c r="N435" t="s">
        <v>24</v>
      </c>
    </row>
    <row r="436" spans="1:14" x14ac:dyDescent="0.3">
      <c r="A436">
        <v>9434</v>
      </c>
      <c r="B436" s="1">
        <v>45777</v>
      </c>
      <c r="C436">
        <v>2025</v>
      </c>
      <c r="D436" t="s">
        <v>49</v>
      </c>
      <c r="E436" t="s">
        <v>30</v>
      </c>
      <c r="F436" t="s">
        <v>43</v>
      </c>
      <c r="G436" t="s">
        <v>22</v>
      </c>
      <c r="H436" t="s">
        <v>23</v>
      </c>
      <c r="I436">
        <v>376</v>
      </c>
      <c r="J436">
        <v>420</v>
      </c>
      <c r="K436">
        <v>157920</v>
      </c>
      <c r="L436">
        <v>14245.9</v>
      </c>
      <c r="M436">
        <v>33873.22</v>
      </c>
      <c r="N436" t="s">
        <v>24</v>
      </c>
    </row>
    <row r="437" spans="1:14" x14ac:dyDescent="0.3">
      <c r="A437">
        <v>9435</v>
      </c>
      <c r="B437" s="1">
        <v>45830</v>
      </c>
      <c r="C437">
        <v>2025</v>
      </c>
      <c r="D437" t="s">
        <v>46</v>
      </c>
      <c r="E437" t="s">
        <v>26</v>
      </c>
      <c r="F437" t="s">
        <v>27</v>
      </c>
      <c r="G437" t="s">
        <v>44</v>
      </c>
      <c r="H437" t="s">
        <v>45</v>
      </c>
      <c r="I437">
        <v>374</v>
      </c>
      <c r="J437">
        <v>55</v>
      </c>
      <c r="K437">
        <v>20570</v>
      </c>
      <c r="L437">
        <v>1573.02</v>
      </c>
      <c r="M437">
        <v>4321.75</v>
      </c>
      <c r="N437" t="s">
        <v>24</v>
      </c>
    </row>
    <row r="438" spans="1:14" x14ac:dyDescent="0.3">
      <c r="A438">
        <v>9436</v>
      </c>
      <c r="B438" s="1">
        <v>46022</v>
      </c>
      <c r="C438">
        <v>2025</v>
      </c>
      <c r="D438" t="s">
        <v>51</v>
      </c>
      <c r="E438" t="s">
        <v>26</v>
      </c>
      <c r="F438" t="s">
        <v>27</v>
      </c>
      <c r="G438" t="s">
        <v>35</v>
      </c>
      <c r="H438" t="s">
        <v>41</v>
      </c>
      <c r="I438">
        <v>323</v>
      </c>
      <c r="J438">
        <v>140</v>
      </c>
      <c r="K438">
        <v>45220</v>
      </c>
      <c r="L438">
        <v>3363.64</v>
      </c>
      <c r="M438">
        <v>10159.66</v>
      </c>
      <c r="N438" t="s">
        <v>19</v>
      </c>
    </row>
    <row r="439" spans="1:14" x14ac:dyDescent="0.3">
      <c r="A439">
        <v>9437</v>
      </c>
      <c r="B439" s="1">
        <v>45824</v>
      </c>
      <c r="C439">
        <v>2025</v>
      </c>
      <c r="D439" t="s">
        <v>46</v>
      </c>
      <c r="E439" t="s">
        <v>26</v>
      </c>
      <c r="F439" t="s">
        <v>27</v>
      </c>
      <c r="G439" t="s">
        <v>22</v>
      </c>
      <c r="H439" t="s">
        <v>32</v>
      </c>
      <c r="I439">
        <v>302</v>
      </c>
      <c r="J439">
        <v>60</v>
      </c>
      <c r="K439">
        <v>18120</v>
      </c>
      <c r="L439">
        <v>1624.63</v>
      </c>
      <c r="M439">
        <v>4961.2700000000004</v>
      </c>
      <c r="N439" t="s">
        <v>19</v>
      </c>
    </row>
    <row r="440" spans="1:14" x14ac:dyDescent="0.3">
      <c r="A440">
        <v>9438</v>
      </c>
      <c r="B440" s="1">
        <v>45787</v>
      </c>
      <c r="C440">
        <v>2025</v>
      </c>
      <c r="D440" t="s">
        <v>14</v>
      </c>
      <c r="E440" t="s">
        <v>30</v>
      </c>
      <c r="F440" t="s">
        <v>31</v>
      </c>
      <c r="G440" t="s">
        <v>22</v>
      </c>
      <c r="H440" t="s">
        <v>32</v>
      </c>
      <c r="I440">
        <v>299</v>
      </c>
      <c r="J440">
        <v>60</v>
      </c>
      <c r="K440">
        <v>17940</v>
      </c>
      <c r="L440">
        <v>1115.5899999999999</v>
      </c>
      <c r="M440">
        <v>5258.58</v>
      </c>
      <c r="N440" t="s">
        <v>19</v>
      </c>
    </row>
    <row r="441" spans="1:14" x14ac:dyDescent="0.3">
      <c r="A441">
        <v>9439</v>
      </c>
      <c r="B441" s="1">
        <v>45935</v>
      </c>
      <c r="C441">
        <v>2025</v>
      </c>
      <c r="D441" t="s">
        <v>33</v>
      </c>
      <c r="E441" t="s">
        <v>30</v>
      </c>
      <c r="F441" t="s">
        <v>31</v>
      </c>
      <c r="G441" t="s">
        <v>17</v>
      </c>
      <c r="H441" t="s">
        <v>18</v>
      </c>
      <c r="I441">
        <v>401</v>
      </c>
      <c r="J441">
        <v>350</v>
      </c>
      <c r="K441">
        <v>140350</v>
      </c>
      <c r="L441">
        <v>13052.89</v>
      </c>
      <c r="M441">
        <v>42097.54</v>
      </c>
      <c r="N441" t="s">
        <v>24</v>
      </c>
    </row>
    <row r="442" spans="1:14" x14ac:dyDescent="0.3">
      <c r="A442">
        <v>9440</v>
      </c>
      <c r="B442" s="1">
        <v>45940</v>
      </c>
      <c r="C442">
        <v>2025</v>
      </c>
      <c r="D442" t="s">
        <v>33</v>
      </c>
      <c r="E442" t="s">
        <v>15</v>
      </c>
      <c r="F442" t="s">
        <v>16</v>
      </c>
      <c r="G442" t="s">
        <v>44</v>
      </c>
      <c r="H442" t="s">
        <v>56</v>
      </c>
      <c r="I442">
        <v>477</v>
      </c>
      <c r="J442">
        <v>80</v>
      </c>
      <c r="K442">
        <v>38160</v>
      </c>
      <c r="L442">
        <v>3429.93</v>
      </c>
      <c r="M442">
        <v>11662.22</v>
      </c>
      <c r="N442" t="s">
        <v>19</v>
      </c>
    </row>
    <row r="443" spans="1:14" x14ac:dyDescent="0.3">
      <c r="A443">
        <v>9441</v>
      </c>
      <c r="B443" s="1">
        <v>45927</v>
      </c>
      <c r="C443">
        <v>2025</v>
      </c>
      <c r="D443" t="s">
        <v>37</v>
      </c>
      <c r="E443" t="s">
        <v>30</v>
      </c>
      <c r="F443" t="s">
        <v>38</v>
      </c>
      <c r="G443" t="s">
        <v>22</v>
      </c>
      <c r="H443" t="s">
        <v>28</v>
      </c>
      <c r="I443">
        <v>258</v>
      </c>
      <c r="J443">
        <v>50</v>
      </c>
      <c r="K443">
        <v>12900</v>
      </c>
      <c r="L443">
        <v>1199.54</v>
      </c>
      <c r="M443">
        <v>2193.34</v>
      </c>
      <c r="N443" t="s">
        <v>19</v>
      </c>
    </row>
    <row r="444" spans="1:14" x14ac:dyDescent="0.3">
      <c r="A444">
        <v>9442</v>
      </c>
      <c r="B444" s="1">
        <v>45931</v>
      </c>
      <c r="C444">
        <v>2025</v>
      </c>
      <c r="D444" t="s">
        <v>33</v>
      </c>
      <c r="E444" t="s">
        <v>26</v>
      </c>
      <c r="F444" t="s">
        <v>27</v>
      </c>
      <c r="G444" t="s">
        <v>17</v>
      </c>
      <c r="H444" t="s">
        <v>52</v>
      </c>
      <c r="I444">
        <v>398</v>
      </c>
      <c r="J444">
        <v>300</v>
      </c>
      <c r="K444">
        <v>119400</v>
      </c>
      <c r="L444">
        <v>8576.48</v>
      </c>
      <c r="M444">
        <v>37519.22</v>
      </c>
      <c r="N444" t="s">
        <v>19</v>
      </c>
    </row>
    <row r="445" spans="1:14" x14ac:dyDescent="0.3">
      <c r="A445">
        <v>9443</v>
      </c>
      <c r="B445" s="1">
        <v>45692</v>
      </c>
      <c r="C445">
        <v>2025</v>
      </c>
      <c r="D445" t="s">
        <v>42</v>
      </c>
      <c r="E445" t="s">
        <v>26</v>
      </c>
      <c r="F445" t="s">
        <v>48</v>
      </c>
      <c r="G445" t="s">
        <v>22</v>
      </c>
      <c r="H445" t="s">
        <v>39</v>
      </c>
      <c r="I445">
        <v>271</v>
      </c>
      <c r="J445">
        <v>25</v>
      </c>
      <c r="K445">
        <v>6775</v>
      </c>
      <c r="L445">
        <v>522.46</v>
      </c>
      <c r="M445">
        <v>1235.92</v>
      </c>
      <c r="N445" t="s">
        <v>19</v>
      </c>
    </row>
    <row r="446" spans="1:14" x14ac:dyDescent="0.3">
      <c r="A446">
        <v>9444</v>
      </c>
      <c r="B446" s="1">
        <v>45877</v>
      </c>
      <c r="C446">
        <v>2025</v>
      </c>
      <c r="D446" t="s">
        <v>20</v>
      </c>
      <c r="E446" t="s">
        <v>30</v>
      </c>
      <c r="F446" t="s">
        <v>38</v>
      </c>
      <c r="G446" t="s">
        <v>22</v>
      </c>
      <c r="H446" t="s">
        <v>32</v>
      </c>
      <c r="I446">
        <v>283</v>
      </c>
      <c r="J446">
        <v>60</v>
      </c>
      <c r="K446">
        <v>16980</v>
      </c>
      <c r="L446">
        <v>1217.43</v>
      </c>
      <c r="M446">
        <v>3255.13</v>
      </c>
      <c r="N446" t="s">
        <v>19</v>
      </c>
    </row>
    <row r="447" spans="1:14" x14ac:dyDescent="0.3">
      <c r="A447">
        <v>9445</v>
      </c>
      <c r="B447" s="1">
        <v>45915</v>
      </c>
      <c r="C447">
        <v>2025</v>
      </c>
      <c r="D447" t="s">
        <v>37</v>
      </c>
      <c r="E447" t="s">
        <v>26</v>
      </c>
      <c r="F447" t="s">
        <v>27</v>
      </c>
      <c r="G447" t="s">
        <v>35</v>
      </c>
      <c r="H447" t="s">
        <v>41</v>
      </c>
      <c r="I447">
        <v>63</v>
      </c>
      <c r="J447">
        <v>140</v>
      </c>
      <c r="K447">
        <v>8820</v>
      </c>
      <c r="L447">
        <v>481.64</v>
      </c>
      <c r="M447">
        <v>2085.85</v>
      </c>
      <c r="N447" t="s">
        <v>19</v>
      </c>
    </row>
    <row r="448" spans="1:14" x14ac:dyDescent="0.3">
      <c r="A448">
        <v>9446</v>
      </c>
      <c r="B448" s="1">
        <v>45710</v>
      </c>
      <c r="C448">
        <v>2025</v>
      </c>
      <c r="D448" t="s">
        <v>42</v>
      </c>
      <c r="E448" t="s">
        <v>30</v>
      </c>
      <c r="F448" t="s">
        <v>43</v>
      </c>
      <c r="G448" t="s">
        <v>44</v>
      </c>
      <c r="H448" t="s">
        <v>56</v>
      </c>
      <c r="I448">
        <v>221</v>
      </c>
      <c r="J448">
        <v>80</v>
      </c>
      <c r="K448">
        <v>17680</v>
      </c>
      <c r="L448">
        <v>1325.46</v>
      </c>
      <c r="M448">
        <v>3421.05</v>
      </c>
      <c r="N448" t="s">
        <v>19</v>
      </c>
    </row>
    <row r="449" spans="1:14" x14ac:dyDescent="0.3">
      <c r="A449">
        <v>9447</v>
      </c>
      <c r="B449" s="1">
        <v>45939</v>
      </c>
      <c r="C449">
        <v>2025</v>
      </c>
      <c r="D449" t="s">
        <v>33</v>
      </c>
      <c r="E449" t="s">
        <v>30</v>
      </c>
      <c r="F449" t="s">
        <v>38</v>
      </c>
      <c r="G449" t="s">
        <v>17</v>
      </c>
      <c r="H449" t="s">
        <v>18</v>
      </c>
      <c r="I449">
        <v>478</v>
      </c>
      <c r="J449">
        <v>350</v>
      </c>
      <c r="K449">
        <v>167300</v>
      </c>
      <c r="L449">
        <v>13846.05</v>
      </c>
      <c r="M449">
        <v>37952.33</v>
      </c>
      <c r="N449" t="s">
        <v>19</v>
      </c>
    </row>
    <row r="450" spans="1:14" x14ac:dyDescent="0.3">
      <c r="A450">
        <v>9448</v>
      </c>
      <c r="B450" s="1">
        <v>45863</v>
      </c>
      <c r="C450">
        <v>2025</v>
      </c>
      <c r="D450" t="s">
        <v>54</v>
      </c>
      <c r="E450" t="s">
        <v>15</v>
      </c>
      <c r="F450" t="s">
        <v>16</v>
      </c>
      <c r="G450" t="s">
        <v>22</v>
      </c>
      <c r="H450" t="s">
        <v>47</v>
      </c>
      <c r="I450">
        <v>285</v>
      </c>
      <c r="J450">
        <v>45</v>
      </c>
      <c r="K450">
        <v>12825</v>
      </c>
      <c r="L450">
        <v>961.06</v>
      </c>
      <c r="M450">
        <v>3089.4</v>
      </c>
      <c r="N450" t="s">
        <v>24</v>
      </c>
    </row>
    <row r="451" spans="1:14" x14ac:dyDescent="0.3">
      <c r="A451">
        <v>9449</v>
      </c>
      <c r="B451" s="1">
        <v>45968</v>
      </c>
      <c r="C451">
        <v>2025</v>
      </c>
      <c r="D451" t="s">
        <v>25</v>
      </c>
      <c r="E451" t="s">
        <v>30</v>
      </c>
      <c r="F451" t="s">
        <v>31</v>
      </c>
      <c r="G451" t="s">
        <v>35</v>
      </c>
      <c r="H451" t="s">
        <v>41</v>
      </c>
      <c r="I451">
        <v>172</v>
      </c>
      <c r="J451">
        <v>140</v>
      </c>
      <c r="K451">
        <v>24080</v>
      </c>
      <c r="L451">
        <v>2321.2399999999998</v>
      </c>
      <c r="M451">
        <v>7238.14</v>
      </c>
      <c r="N451" t="s">
        <v>19</v>
      </c>
    </row>
    <row r="452" spans="1:14" x14ac:dyDescent="0.3">
      <c r="A452">
        <v>9450</v>
      </c>
      <c r="B452" s="1">
        <v>45726</v>
      </c>
      <c r="C452">
        <v>2025</v>
      </c>
      <c r="D452" t="s">
        <v>40</v>
      </c>
      <c r="E452" t="s">
        <v>26</v>
      </c>
      <c r="F452" t="s">
        <v>53</v>
      </c>
      <c r="G452" t="s">
        <v>17</v>
      </c>
      <c r="H452" t="s">
        <v>52</v>
      </c>
      <c r="I452">
        <v>246</v>
      </c>
      <c r="J452">
        <v>300</v>
      </c>
      <c r="K452">
        <v>73800</v>
      </c>
      <c r="L452">
        <v>6778.12</v>
      </c>
      <c r="M452">
        <v>20147.28</v>
      </c>
      <c r="N452" t="s">
        <v>19</v>
      </c>
    </row>
    <row r="453" spans="1:14" x14ac:dyDescent="0.3">
      <c r="A453">
        <v>9451</v>
      </c>
      <c r="B453" s="1">
        <v>45771</v>
      </c>
      <c r="C453">
        <v>2025</v>
      </c>
      <c r="D453" t="s">
        <v>49</v>
      </c>
      <c r="E453" t="s">
        <v>26</v>
      </c>
      <c r="F453" t="s">
        <v>34</v>
      </c>
      <c r="G453" t="s">
        <v>17</v>
      </c>
      <c r="H453" t="s">
        <v>52</v>
      </c>
      <c r="I453">
        <v>164</v>
      </c>
      <c r="J453">
        <v>300</v>
      </c>
      <c r="K453">
        <v>49200</v>
      </c>
      <c r="L453">
        <v>3514.16</v>
      </c>
      <c r="M453">
        <v>13622.16</v>
      </c>
      <c r="N453" t="s">
        <v>24</v>
      </c>
    </row>
    <row r="454" spans="1:14" x14ac:dyDescent="0.3">
      <c r="A454">
        <v>9452</v>
      </c>
      <c r="B454" s="1">
        <v>45905</v>
      </c>
      <c r="C454">
        <v>2025</v>
      </c>
      <c r="D454" t="s">
        <v>37</v>
      </c>
      <c r="E454" t="s">
        <v>15</v>
      </c>
      <c r="F454" t="s">
        <v>16</v>
      </c>
      <c r="G454" t="s">
        <v>22</v>
      </c>
      <c r="H454" t="s">
        <v>28</v>
      </c>
      <c r="I454">
        <v>446</v>
      </c>
      <c r="J454">
        <v>50</v>
      </c>
      <c r="K454">
        <v>22300</v>
      </c>
      <c r="L454">
        <v>1887.82</v>
      </c>
      <c r="M454">
        <v>6920.84</v>
      </c>
      <c r="N454" t="s">
        <v>24</v>
      </c>
    </row>
    <row r="455" spans="1:14" x14ac:dyDescent="0.3">
      <c r="A455">
        <v>9453</v>
      </c>
      <c r="B455" s="1">
        <v>45907</v>
      </c>
      <c r="C455">
        <v>2025</v>
      </c>
      <c r="D455" t="s">
        <v>37</v>
      </c>
      <c r="E455" t="s">
        <v>26</v>
      </c>
      <c r="F455" t="s">
        <v>34</v>
      </c>
      <c r="G455" t="s">
        <v>17</v>
      </c>
      <c r="H455" t="s">
        <v>18</v>
      </c>
      <c r="I455">
        <v>332</v>
      </c>
      <c r="J455">
        <v>350</v>
      </c>
      <c r="K455">
        <v>116200</v>
      </c>
      <c r="L455">
        <v>9930.66</v>
      </c>
      <c r="M455">
        <v>22761.7</v>
      </c>
      <c r="N455" t="s">
        <v>19</v>
      </c>
    </row>
    <row r="456" spans="1:14" x14ac:dyDescent="0.3">
      <c r="A456">
        <v>9454</v>
      </c>
      <c r="B456" s="1">
        <v>45938</v>
      </c>
      <c r="C456">
        <v>2025</v>
      </c>
      <c r="D456" t="s">
        <v>33</v>
      </c>
      <c r="E456" t="s">
        <v>15</v>
      </c>
      <c r="F456" t="s">
        <v>16</v>
      </c>
      <c r="G456" t="s">
        <v>17</v>
      </c>
      <c r="H456" t="s">
        <v>52</v>
      </c>
      <c r="I456">
        <v>400</v>
      </c>
      <c r="J456">
        <v>300</v>
      </c>
      <c r="K456">
        <v>120000</v>
      </c>
      <c r="L456">
        <v>7595.5</v>
      </c>
      <c r="M456">
        <v>37747.910000000003</v>
      </c>
      <c r="N456" t="s">
        <v>19</v>
      </c>
    </row>
    <row r="457" spans="1:14" x14ac:dyDescent="0.3">
      <c r="A457">
        <v>9455</v>
      </c>
      <c r="B457" s="1">
        <v>45945</v>
      </c>
      <c r="C457">
        <v>2025</v>
      </c>
      <c r="D457" t="s">
        <v>33</v>
      </c>
      <c r="E457" t="s">
        <v>30</v>
      </c>
      <c r="F457" t="s">
        <v>43</v>
      </c>
      <c r="G457" t="s">
        <v>35</v>
      </c>
      <c r="H457" t="s">
        <v>41</v>
      </c>
      <c r="I457">
        <v>290</v>
      </c>
      <c r="J457">
        <v>140</v>
      </c>
      <c r="K457">
        <v>40600</v>
      </c>
      <c r="L457">
        <v>3394.27</v>
      </c>
      <c r="M457">
        <v>8067.87</v>
      </c>
      <c r="N457" t="s">
        <v>19</v>
      </c>
    </row>
    <row r="458" spans="1:14" x14ac:dyDescent="0.3">
      <c r="A458">
        <v>9456</v>
      </c>
      <c r="B458" s="1">
        <v>45967</v>
      </c>
      <c r="C458">
        <v>2025</v>
      </c>
      <c r="D458" t="s">
        <v>25</v>
      </c>
      <c r="E458" t="s">
        <v>26</v>
      </c>
      <c r="F458" t="s">
        <v>27</v>
      </c>
      <c r="G458" t="s">
        <v>22</v>
      </c>
      <c r="H458" t="s">
        <v>39</v>
      </c>
      <c r="I458">
        <v>118</v>
      </c>
      <c r="J458">
        <v>25</v>
      </c>
      <c r="K458">
        <v>2950</v>
      </c>
      <c r="L458">
        <v>244.63</v>
      </c>
      <c r="M458">
        <v>890.15</v>
      </c>
      <c r="N458" t="s">
        <v>24</v>
      </c>
    </row>
    <row r="459" spans="1:14" x14ac:dyDescent="0.3">
      <c r="A459">
        <v>9457</v>
      </c>
      <c r="B459" s="1">
        <v>45683</v>
      </c>
      <c r="C459">
        <v>2025</v>
      </c>
      <c r="D459" t="s">
        <v>29</v>
      </c>
      <c r="E459" t="s">
        <v>30</v>
      </c>
      <c r="F459" t="s">
        <v>43</v>
      </c>
      <c r="G459" t="s">
        <v>35</v>
      </c>
      <c r="H459" t="s">
        <v>41</v>
      </c>
      <c r="I459">
        <v>76</v>
      </c>
      <c r="J459">
        <v>140</v>
      </c>
      <c r="K459">
        <v>10640</v>
      </c>
      <c r="L459">
        <v>611.41</v>
      </c>
      <c r="M459">
        <v>2858.33</v>
      </c>
      <c r="N459" t="s">
        <v>19</v>
      </c>
    </row>
    <row r="460" spans="1:14" x14ac:dyDescent="0.3">
      <c r="A460">
        <v>9458</v>
      </c>
      <c r="B460" s="1">
        <v>45893</v>
      </c>
      <c r="C460">
        <v>2025</v>
      </c>
      <c r="D460" t="s">
        <v>20</v>
      </c>
      <c r="E460" t="s">
        <v>26</v>
      </c>
      <c r="F460" t="s">
        <v>34</v>
      </c>
      <c r="G460" t="s">
        <v>44</v>
      </c>
      <c r="H460" t="s">
        <v>50</v>
      </c>
      <c r="I460">
        <v>234</v>
      </c>
      <c r="J460">
        <v>150</v>
      </c>
      <c r="K460">
        <v>35100</v>
      </c>
      <c r="L460">
        <v>2223.8200000000002</v>
      </c>
      <c r="M460">
        <v>7766.97</v>
      </c>
      <c r="N460" t="s">
        <v>24</v>
      </c>
    </row>
    <row r="461" spans="1:14" x14ac:dyDescent="0.3">
      <c r="A461">
        <v>9459</v>
      </c>
      <c r="B461" s="1">
        <v>45774</v>
      </c>
      <c r="C461">
        <v>2025</v>
      </c>
      <c r="D461" t="s">
        <v>49</v>
      </c>
      <c r="E461" t="s">
        <v>26</v>
      </c>
      <c r="F461" t="s">
        <v>34</v>
      </c>
      <c r="G461" t="s">
        <v>35</v>
      </c>
      <c r="H461" t="s">
        <v>41</v>
      </c>
      <c r="I461">
        <v>155</v>
      </c>
      <c r="J461">
        <v>140</v>
      </c>
      <c r="K461">
        <v>21700</v>
      </c>
      <c r="L461">
        <v>1473.76</v>
      </c>
      <c r="M461">
        <v>6883.8</v>
      </c>
      <c r="N461" t="s">
        <v>19</v>
      </c>
    </row>
    <row r="462" spans="1:14" x14ac:dyDescent="0.3">
      <c r="A462">
        <v>9460</v>
      </c>
      <c r="B462" s="1">
        <v>45994</v>
      </c>
      <c r="C462">
        <v>2025</v>
      </c>
      <c r="D462" t="s">
        <v>51</v>
      </c>
      <c r="E462" t="s">
        <v>30</v>
      </c>
      <c r="F462" t="s">
        <v>43</v>
      </c>
      <c r="G462" t="s">
        <v>44</v>
      </c>
      <c r="H462" t="s">
        <v>56</v>
      </c>
      <c r="I462">
        <v>261</v>
      </c>
      <c r="J462">
        <v>80</v>
      </c>
      <c r="K462">
        <v>20880</v>
      </c>
      <c r="L462">
        <v>1294.32</v>
      </c>
      <c r="M462">
        <v>5601.85</v>
      </c>
      <c r="N462" t="s">
        <v>24</v>
      </c>
    </row>
    <row r="463" spans="1:14" x14ac:dyDescent="0.3">
      <c r="A463">
        <v>9461</v>
      </c>
      <c r="B463" s="1">
        <v>45883</v>
      </c>
      <c r="C463">
        <v>2025</v>
      </c>
      <c r="D463" t="s">
        <v>20</v>
      </c>
      <c r="E463" t="s">
        <v>26</v>
      </c>
      <c r="F463" t="s">
        <v>27</v>
      </c>
      <c r="G463" t="s">
        <v>22</v>
      </c>
      <c r="H463" t="s">
        <v>39</v>
      </c>
      <c r="I463">
        <v>336</v>
      </c>
      <c r="J463">
        <v>25</v>
      </c>
      <c r="K463">
        <v>8400</v>
      </c>
      <c r="L463">
        <v>540.20000000000005</v>
      </c>
      <c r="M463">
        <v>1686.84</v>
      </c>
      <c r="N463" t="s">
        <v>19</v>
      </c>
    </row>
    <row r="464" spans="1:14" x14ac:dyDescent="0.3">
      <c r="A464">
        <v>9462</v>
      </c>
      <c r="B464" s="1">
        <v>45950</v>
      </c>
      <c r="C464">
        <v>2025</v>
      </c>
      <c r="D464" t="s">
        <v>33</v>
      </c>
      <c r="E464" t="s">
        <v>26</v>
      </c>
      <c r="F464" t="s">
        <v>53</v>
      </c>
      <c r="G464" t="s">
        <v>22</v>
      </c>
      <c r="H464" t="s">
        <v>32</v>
      </c>
      <c r="I464">
        <v>284</v>
      </c>
      <c r="J464">
        <v>60</v>
      </c>
      <c r="K464">
        <v>17040</v>
      </c>
      <c r="L464">
        <v>1136.25</v>
      </c>
      <c r="M464">
        <v>3728.82</v>
      </c>
      <c r="N464" t="s">
        <v>19</v>
      </c>
    </row>
    <row r="465" spans="1:14" x14ac:dyDescent="0.3">
      <c r="A465">
        <v>9463</v>
      </c>
      <c r="B465" s="1">
        <v>45873</v>
      </c>
      <c r="C465">
        <v>2025</v>
      </c>
      <c r="D465" t="s">
        <v>20</v>
      </c>
      <c r="E465" t="s">
        <v>30</v>
      </c>
      <c r="F465" t="s">
        <v>43</v>
      </c>
      <c r="G465" t="s">
        <v>44</v>
      </c>
      <c r="H465" t="s">
        <v>45</v>
      </c>
      <c r="I465">
        <v>142</v>
      </c>
      <c r="J465">
        <v>55</v>
      </c>
      <c r="K465">
        <v>7810</v>
      </c>
      <c r="L465">
        <v>710.23</v>
      </c>
      <c r="M465">
        <v>1683.23</v>
      </c>
      <c r="N465" t="s">
        <v>24</v>
      </c>
    </row>
    <row r="466" spans="1:14" x14ac:dyDescent="0.3">
      <c r="A466">
        <v>9464</v>
      </c>
      <c r="B466" s="1">
        <v>45665</v>
      </c>
      <c r="C466">
        <v>2025</v>
      </c>
      <c r="D466" t="s">
        <v>29</v>
      </c>
      <c r="E466" t="s">
        <v>30</v>
      </c>
      <c r="F466" t="s">
        <v>31</v>
      </c>
      <c r="G466" t="s">
        <v>44</v>
      </c>
      <c r="H466" t="s">
        <v>50</v>
      </c>
      <c r="I466">
        <v>285</v>
      </c>
      <c r="J466">
        <v>150</v>
      </c>
      <c r="K466">
        <v>42750</v>
      </c>
      <c r="L466">
        <v>3094.71</v>
      </c>
      <c r="M466">
        <v>12471.53</v>
      </c>
      <c r="N466" t="s">
        <v>24</v>
      </c>
    </row>
    <row r="467" spans="1:14" x14ac:dyDescent="0.3">
      <c r="A467">
        <v>9465</v>
      </c>
      <c r="B467" s="1">
        <v>45871</v>
      </c>
      <c r="C467">
        <v>2025</v>
      </c>
      <c r="D467" t="s">
        <v>20</v>
      </c>
      <c r="E467" t="s">
        <v>30</v>
      </c>
      <c r="F467" t="s">
        <v>43</v>
      </c>
      <c r="G467" t="s">
        <v>35</v>
      </c>
      <c r="H467" t="s">
        <v>41</v>
      </c>
      <c r="I467">
        <v>173</v>
      </c>
      <c r="J467">
        <v>140</v>
      </c>
      <c r="K467">
        <v>24220</v>
      </c>
      <c r="L467">
        <v>1763.83</v>
      </c>
      <c r="M467">
        <v>5415.43</v>
      </c>
      <c r="N467" t="s">
        <v>19</v>
      </c>
    </row>
    <row r="468" spans="1:14" x14ac:dyDescent="0.3">
      <c r="A468">
        <v>9466</v>
      </c>
      <c r="B468" s="1">
        <v>45724</v>
      </c>
      <c r="C468">
        <v>2025</v>
      </c>
      <c r="D468" t="s">
        <v>40</v>
      </c>
      <c r="E468" t="s">
        <v>26</v>
      </c>
      <c r="F468" t="s">
        <v>48</v>
      </c>
      <c r="G468" t="s">
        <v>17</v>
      </c>
      <c r="H468" t="s">
        <v>52</v>
      </c>
      <c r="I468">
        <v>294</v>
      </c>
      <c r="J468">
        <v>300</v>
      </c>
      <c r="K468">
        <v>88200</v>
      </c>
      <c r="L468">
        <v>7504.44</v>
      </c>
      <c r="M468">
        <v>23380.25</v>
      </c>
      <c r="N468" t="s">
        <v>19</v>
      </c>
    </row>
    <row r="469" spans="1:14" x14ac:dyDescent="0.3">
      <c r="A469">
        <v>9467</v>
      </c>
      <c r="B469" s="1">
        <v>45922</v>
      </c>
      <c r="C469">
        <v>2025</v>
      </c>
      <c r="D469" t="s">
        <v>37</v>
      </c>
      <c r="E469" t="s">
        <v>26</v>
      </c>
      <c r="F469" t="s">
        <v>53</v>
      </c>
      <c r="G469" t="s">
        <v>35</v>
      </c>
      <c r="H469" t="s">
        <v>41</v>
      </c>
      <c r="I469">
        <v>15</v>
      </c>
      <c r="J469">
        <v>140</v>
      </c>
      <c r="K469">
        <v>2100</v>
      </c>
      <c r="L469">
        <v>133.22</v>
      </c>
      <c r="M469">
        <v>667.85</v>
      </c>
      <c r="N469" t="s">
        <v>24</v>
      </c>
    </row>
    <row r="470" spans="1:14" x14ac:dyDescent="0.3">
      <c r="A470">
        <v>9468</v>
      </c>
      <c r="B470" s="1">
        <v>45848</v>
      </c>
      <c r="C470">
        <v>2025</v>
      </c>
      <c r="D470" t="s">
        <v>54</v>
      </c>
      <c r="E470" t="s">
        <v>26</v>
      </c>
      <c r="F470" t="s">
        <v>27</v>
      </c>
      <c r="G470" t="s">
        <v>22</v>
      </c>
      <c r="H470" t="s">
        <v>47</v>
      </c>
      <c r="I470">
        <v>276</v>
      </c>
      <c r="J470">
        <v>45</v>
      </c>
      <c r="K470">
        <v>12420</v>
      </c>
      <c r="L470">
        <v>1057.49</v>
      </c>
      <c r="M470">
        <v>3270.3</v>
      </c>
      <c r="N470" t="s">
        <v>24</v>
      </c>
    </row>
    <row r="471" spans="1:14" x14ac:dyDescent="0.3">
      <c r="A471">
        <v>9469</v>
      </c>
      <c r="B471" s="1">
        <v>45745</v>
      </c>
      <c r="C471">
        <v>2025</v>
      </c>
      <c r="D471" t="s">
        <v>40</v>
      </c>
      <c r="E471" t="s">
        <v>30</v>
      </c>
      <c r="F471" t="s">
        <v>43</v>
      </c>
      <c r="G471" t="s">
        <v>22</v>
      </c>
      <c r="H471" t="s">
        <v>32</v>
      </c>
      <c r="I471">
        <v>364</v>
      </c>
      <c r="J471">
        <v>60</v>
      </c>
      <c r="K471">
        <v>21840</v>
      </c>
      <c r="L471">
        <v>1532.02</v>
      </c>
      <c r="M471">
        <v>5909.74</v>
      </c>
      <c r="N471" t="s">
        <v>24</v>
      </c>
    </row>
    <row r="472" spans="1:14" x14ac:dyDescent="0.3">
      <c r="A472">
        <v>9470</v>
      </c>
      <c r="B472" s="1">
        <v>45856</v>
      </c>
      <c r="C472">
        <v>2025</v>
      </c>
      <c r="D472" t="s">
        <v>54</v>
      </c>
      <c r="E472" t="s">
        <v>15</v>
      </c>
      <c r="F472" t="s">
        <v>21</v>
      </c>
      <c r="G472" t="s">
        <v>44</v>
      </c>
      <c r="H472" t="s">
        <v>56</v>
      </c>
      <c r="I472">
        <v>319</v>
      </c>
      <c r="J472">
        <v>80</v>
      </c>
      <c r="K472">
        <v>25520</v>
      </c>
      <c r="L472">
        <v>1878.91</v>
      </c>
      <c r="M472">
        <v>4722.83</v>
      </c>
      <c r="N472" t="s">
        <v>19</v>
      </c>
    </row>
    <row r="473" spans="1:14" x14ac:dyDescent="0.3">
      <c r="A473">
        <v>9471</v>
      </c>
      <c r="B473" s="1">
        <v>45959</v>
      </c>
      <c r="C473">
        <v>2025</v>
      </c>
      <c r="D473" t="s">
        <v>33</v>
      </c>
      <c r="E473" t="s">
        <v>30</v>
      </c>
      <c r="F473" t="s">
        <v>43</v>
      </c>
      <c r="G473" t="s">
        <v>22</v>
      </c>
      <c r="H473" t="s">
        <v>39</v>
      </c>
      <c r="I473">
        <v>445</v>
      </c>
      <c r="J473">
        <v>25</v>
      </c>
      <c r="K473">
        <v>11125</v>
      </c>
      <c r="L473">
        <v>695.56</v>
      </c>
      <c r="M473">
        <v>2357.31</v>
      </c>
      <c r="N473" t="s">
        <v>24</v>
      </c>
    </row>
    <row r="474" spans="1:14" x14ac:dyDescent="0.3">
      <c r="A474">
        <v>9472</v>
      </c>
      <c r="B474" s="1">
        <v>45807</v>
      </c>
      <c r="C474">
        <v>2025</v>
      </c>
      <c r="D474" t="s">
        <v>14</v>
      </c>
      <c r="E474" t="s">
        <v>30</v>
      </c>
      <c r="F474" t="s">
        <v>43</v>
      </c>
      <c r="G474" t="s">
        <v>22</v>
      </c>
      <c r="H474" t="s">
        <v>47</v>
      </c>
      <c r="I474">
        <v>250</v>
      </c>
      <c r="J474">
        <v>45</v>
      </c>
      <c r="K474">
        <v>11250</v>
      </c>
      <c r="L474">
        <v>1117.6099999999999</v>
      </c>
      <c r="M474">
        <v>2410.89</v>
      </c>
      <c r="N474" t="s">
        <v>24</v>
      </c>
    </row>
    <row r="475" spans="1:14" x14ac:dyDescent="0.3">
      <c r="A475">
        <v>9473</v>
      </c>
      <c r="B475" s="1">
        <v>45840</v>
      </c>
      <c r="C475">
        <v>2025</v>
      </c>
      <c r="D475" t="s">
        <v>54</v>
      </c>
      <c r="E475" t="s">
        <v>26</v>
      </c>
      <c r="F475" t="s">
        <v>27</v>
      </c>
      <c r="G475" t="s">
        <v>35</v>
      </c>
      <c r="H475" t="s">
        <v>41</v>
      </c>
      <c r="I475">
        <v>483</v>
      </c>
      <c r="J475">
        <v>140</v>
      </c>
      <c r="K475">
        <v>67620</v>
      </c>
      <c r="L475">
        <v>3518.83</v>
      </c>
      <c r="M475">
        <v>16948.650000000001</v>
      </c>
      <c r="N475" t="s">
        <v>19</v>
      </c>
    </row>
    <row r="476" spans="1:14" x14ac:dyDescent="0.3">
      <c r="A476">
        <v>9474</v>
      </c>
      <c r="B476" s="1">
        <v>45987</v>
      </c>
      <c r="C476">
        <v>2025</v>
      </c>
      <c r="D476" t="s">
        <v>25</v>
      </c>
      <c r="E476" t="s">
        <v>15</v>
      </c>
      <c r="F476" t="s">
        <v>16</v>
      </c>
      <c r="G476" t="s">
        <v>22</v>
      </c>
      <c r="H476" t="s">
        <v>23</v>
      </c>
      <c r="I476">
        <v>427</v>
      </c>
      <c r="J476">
        <v>420</v>
      </c>
      <c r="K476">
        <v>179340</v>
      </c>
      <c r="L476">
        <v>17259.54</v>
      </c>
      <c r="M476">
        <v>33169.769999999997</v>
      </c>
      <c r="N476" t="s">
        <v>24</v>
      </c>
    </row>
    <row r="477" spans="1:14" x14ac:dyDescent="0.3">
      <c r="A477">
        <v>9475</v>
      </c>
      <c r="B477" s="1">
        <v>45660</v>
      </c>
      <c r="C477">
        <v>2025</v>
      </c>
      <c r="D477" t="s">
        <v>29</v>
      </c>
      <c r="E477" t="s">
        <v>30</v>
      </c>
      <c r="F477" t="s">
        <v>38</v>
      </c>
      <c r="G477" t="s">
        <v>17</v>
      </c>
      <c r="H477" t="s">
        <v>18</v>
      </c>
      <c r="I477">
        <v>453</v>
      </c>
      <c r="J477">
        <v>350</v>
      </c>
      <c r="K477">
        <v>158550</v>
      </c>
      <c r="L477">
        <v>11142.33</v>
      </c>
      <c r="M477">
        <v>36450.239999999998</v>
      </c>
      <c r="N477" t="s">
        <v>24</v>
      </c>
    </row>
    <row r="478" spans="1:14" x14ac:dyDescent="0.3">
      <c r="A478">
        <v>9476</v>
      </c>
      <c r="B478" s="1">
        <v>45666</v>
      </c>
      <c r="C478">
        <v>2025</v>
      </c>
      <c r="D478" t="s">
        <v>29</v>
      </c>
      <c r="E478" t="s">
        <v>26</v>
      </c>
      <c r="F478" t="s">
        <v>48</v>
      </c>
      <c r="G478" t="s">
        <v>22</v>
      </c>
      <c r="H478" t="s">
        <v>28</v>
      </c>
      <c r="I478">
        <v>171</v>
      </c>
      <c r="J478">
        <v>50</v>
      </c>
      <c r="K478">
        <v>8550</v>
      </c>
      <c r="L478">
        <v>558.05999999999995</v>
      </c>
      <c r="M478">
        <v>2161.4899999999998</v>
      </c>
      <c r="N478" t="s">
        <v>19</v>
      </c>
    </row>
    <row r="479" spans="1:14" x14ac:dyDescent="0.3">
      <c r="A479">
        <v>9477</v>
      </c>
      <c r="B479" s="1">
        <v>45970</v>
      </c>
      <c r="C479">
        <v>2025</v>
      </c>
      <c r="D479" t="s">
        <v>25</v>
      </c>
      <c r="E479" t="s">
        <v>15</v>
      </c>
      <c r="F479" t="s">
        <v>21</v>
      </c>
      <c r="G479" t="s">
        <v>22</v>
      </c>
      <c r="H479" t="s">
        <v>47</v>
      </c>
      <c r="I479">
        <v>55</v>
      </c>
      <c r="J479">
        <v>45</v>
      </c>
      <c r="K479">
        <v>2475</v>
      </c>
      <c r="L479">
        <v>173.88</v>
      </c>
      <c r="M479">
        <v>810.84</v>
      </c>
      <c r="N479" t="s">
        <v>24</v>
      </c>
    </row>
    <row r="480" spans="1:14" x14ac:dyDescent="0.3">
      <c r="A480">
        <v>9478</v>
      </c>
      <c r="B480" s="1">
        <v>45686</v>
      </c>
      <c r="C480">
        <v>2025</v>
      </c>
      <c r="D480" t="s">
        <v>29</v>
      </c>
      <c r="E480" t="s">
        <v>30</v>
      </c>
      <c r="F480" t="s">
        <v>38</v>
      </c>
      <c r="G480" t="s">
        <v>17</v>
      </c>
      <c r="H480" t="s">
        <v>55</v>
      </c>
      <c r="I480">
        <v>58</v>
      </c>
      <c r="J480">
        <v>120</v>
      </c>
      <c r="K480">
        <v>6960</v>
      </c>
      <c r="L480">
        <v>418.19</v>
      </c>
      <c r="M480">
        <v>2115.14</v>
      </c>
      <c r="N480" t="s">
        <v>19</v>
      </c>
    </row>
    <row r="481" spans="1:14" x14ac:dyDescent="0.3">
      <c r="A481">
        <v>9479</v>
      </c>
      <c r="B481" s="1">
        <v>45844</v>
      </c>
      <c r="C481">
        <v>2025</v>
      </c>
      <c r="D481" t="s">
        <v>54</v>
      </c>
      <c r="E481" t="s">
        <v>26</v>
      </c>
      <c r="F481" t="s">
        <v>53</v>
      </c>
      <c r="G481" t="s">
        <v>22</v>
      </c>
      <c r="H481" t="s">
        <v>23</v>
      </c>
      <c r="I481">
        <v>279</v>
      </c>
      <c r="J481">
        <v>420</v>
      </c>
      <c r="K481">
        <v>117180</v>
      </c>
      <c r="L481">
        <v>11392.98</v>
      </c>
      <c r="M481">
        <v>24678.36</v>
      </c>
      <c r="N481" t="s">
        <v>19</v>
      </c>
    </row>
    <row r="482" spans="1:14" x14ac:dyDescent="0.3">
      <c r="A482">
        <v>9480</v>
      </c>
      <c r="B482" s="1">
        <v>45970</v>
      </c>
      <c r="C482">
        <v>2025</v>
      </c>
      <c r="D482" t="s">
        <v>25</v>
      </c>
      <c r="E482" t="s">
        <v>26</v>
      </c>
      <c r="F482" t="s">
        <v>48</v>
      </c>
      <c r="G482" t="s">
        <v>17</v>
      </c>
      <c r="H482" t="s">
        <v>18</v>
      </c>
      <c r="I482">
        <v>204</v>
      </c>
      <c r="J482">
        <v>350</v>
      </c>
      <c r="K482">
        <v>71400</v>
      </c>
      <c r="L482">
        <v>7029.25</v>
      </c>
      <c r="M482">
        <v>19939.349999999999</v>
      </c>
      <c r="N482" t="s">
        <v>19</v>
      </c>
    </row>
    <row r="483" spans="1:14" x14ac:dyDescent="0.3">
      <c r="A483">
        <v>9481</v>
      </c>
      <c r="B483" s="1">
        <v>45725</v>
      </c>
      <c r="C483">
        <v>2025</v>
      </c>
      <c r="D483" t="s">
        <v>40</v>
      </c>
      <c r="E483" t="s">
        <v>26</v>
      </c>
      <c r="F483" t="s">
        <v>27</v>
      </c>
      <c r="G483" t="s">
        <v>17</v>
      </c>
      <c r="H483" t="s">
        <v>18</v>
      </c>
      <c r="I483">
        <v>138</v>
      </c>
      <c r="J483">
        <v>350</v>
      </c>
      <c r="K483">
        <v>48300</v>
      </c>
      <c r="L483">
        <v>4238.96</v>
      </c>
      <c r="M483">
        <v>8525.07</v>
      </c>
      <c r="N483" t="s">
        <v>19</v>
      </c>
    </row>
    <row r="484" spans="1:14" x14ac:dyDescent="0.3">
      <c r="A484">
        <v>9482</v>
      </c>
      <c r="B484" s="1">
        <v>45710</v>
      </c>
      <c r="C484">
        <v>2025</v>
      </c>
      <c r="D484" t="s">
        <v>42</v>
      </c>
      <c r="E484" t="s">
        <v>30</v>
      </c>
      <c r="F484" t="s">
        <v>38</v>
      </c>
      <c r="G484" t="s">
        <v>17</v>
      </c>
      <c r="H484" t="s">
        <v>18</v>
      </c>
      <c r="I484">
        <v>99</v>
      </c>
      <c r="J484">
        <v>350</v>
      </c>
      <c r="K484">
        <v>34650</v>
      </c>
      <c r="L484">
        <v>3045.5</v>
      </c>
      <c r="M484">
        <v>5826.25</v>
      </c>
      <c r="N484" t="s">
        <v>19</v>
      </c>
    </row>
    <row r="485" spans="1:14" x14ac:dyDescent="0.3">
      <c r="A485">
        <v>9483</v>
      </c>
      <c r="B485" s="1">
        <v>45869</v>
      </c>
      <c r="C485">
        <v>2025</v>
      </c>
      <c r="D485" t="s">
        <v>54</v>
      </c>
      <c r="E485" t="s">
        <v>30</v>
      </c>
      <c r="F485" t="s">
        <v>43</v>
      </c>
      <c r="G485" t="s">
        <v>44</v>
      </c>
      <c r="H485" t="s">
        <v>56</v>
      </c>
      <c r="I485">
        <v>401</v>
      </c>
      <c r="J485">
        <v>80</v>
      </c>
      <c r="K485">
        <v>32080</v>
      </c>
      <c r="L485">
        <v>2650.91</v>
      </c>
      <c r="M485">
        <v>7383.48</v>
      </c>
      <c r="N485" t="s">
        <v>24</v>
      </c>
    </row>
    <row r="486" spans="1:14" x14ac:dyDescent="0.3">
      <c r="A486">
        <v>9484</v>
      </c>
      <c r="B486" s="1">
        <v>45759</v>
      </c>
      <c r="C486">
        <v>2025</v>
      </c>
      <c r="D486" t="s">
        <v>49</v>
      </c>
      <c r="E486" t="s">
        <v>30</v>
      </c>
      <c r="F486" t="s">
        <v>43</v>
      </c>
      <c r="G486" t="s">
        <v>35</v>
      </c>
      <c r="H486" t="s">
        <v>41</v>
      </c>
      <c r="I486">
        <v>19</v>
      </c>
      <c r="J486">
        <v>140</v>
      </c>
      <c r="K486">
        <v>2660</v>
      </c>
      <c r="L486">
        <v>263.17</v>
      </c>
      <c r="M486">
        <v>661.03</v>
      </c>
      <c r="N486" t="s">
        <v>19</v>
      </c>
    </row>
    <row r="487" spans="1:14" x14ac:dyDescent="0.3">
      <c r="A487">
        <v>9485</v>
      </c>
      <c r="B487" s="1">
        <v>45906</v>
      </c>
      <c r="C487">
        <v>2025</v>
      </c>
      <c r="D487" t="s">
        <v>37</v>
      </c>
      <c r="E487" t="s">
        <v>26</v>
      </c>
      <c r="F487" t="s">
        <v>34</v>
      </c>
      <c r="G487" t="s">
        <v>22</v>
      </c>
      <c r="H487" t="s">
        <v>32</v>
      </c>
      <c r="I487">
        <v>254</v>
      </c>
      <c r="J487">
        <v>60</v>
      </c>
      <c r="K487">
        <v>15240</v>
      </c>
      <c r="L487">
        <v>782.02</v>
      </c>
      <c r="M487">
        <v>3454.78</v>
      </c>
      <c r="N487" t="s">
        <v>19</v>
      </c>
    </row>
    <row r="488" spans="1:14" x14ac:dyDescent="0.3">
      <c r="A488">
        <v>9486</v>
      </c>
      <c r="B488" s="1">
        <v>45905</v>
      </c>
      <c r="C488">
        <v>2025</v>
      </c>
      <c r="D488" t="s">
        <v>37</v>
      </c>
      <c r="E488" t="s">
        <v>26</v>
      </c>
      <c r="F488" t="s">
        <v>27</v>
      </c>
      <c r="G488" t="s">
        <v>17</v>
      </c>
      <c r="H488" t="s">
        <v>18</v>
      </c>
      <c r="I488">
        <v>387</v>
      </c>
      <c r="J488">
        <v>350</v>
      </c>
      <c r="K488">
        <v>135450</v>
      </c>
      <c r="L488">
        <v>8481.8700000000008</v>
      </c>
      <c r="M488">
        <v>26450.09</v>
      </c>
      <c r="N488" t="s">
        <v>24</v>
      </c>
    </row>
    <row r="489" spans="1:14" x14ac:dyDescent="0.3">
      <c r="A489">
        <v>9487</v>
      </c>
      <c r="B489" s="1">
        <v>45756</v>
      </c>
      <c r="C489">
        <v>2025</v>
      </c>
      <c r="D489" t="s">
        <v>49</v>
      </c>
      <c r="E489" t="s">
        <v>15</v>
      </c>
      <c r="F489" t="s">
        <v>21</v>
      </c>
      <c r="G489" t="s">
        <v>22</v>
      </c>
      <c r="H489" t="s">
        <v>47</v>
      </c>
      <c r="I489">
        <v>16</v>
      </c>
      <c r="J489">
        <v>45</v>
      </c>
      <c r="K489">
        <v>720</v>
      </c>
      <c r="L489">
        <v>58.09</v>
      </c>
      <c r="M489">
        <v>182.16</v>
      </c>
      <c r="N489" t="s">
        <v>19</v>
      </c>
    </row>
    <row r="490" spans="1:14" x14ac:dyDescent="0.3">
      <c r="A490">
        <v>9488</v>
      </c>
      <c r="B490" s="1">
        <v>45920</v>
      </c>
      <c r="C490">
        <v>2025</v>
      </c>
      <c r="D490" t="s">
        <v>37</v>
      </c>
      <c r="E490" t="s">
        <v>30</v>
      </c>
      <c r="F490" t="s">
        <v>31</v>
      </c>
      <c r="G490" t="s">
        <v>22</v>
      </c>
      <c r="H490" t="s">
        <v>39</v>
      </c>
      <c r="I490">
        <v>10</v>
      </c>
      <c r="J490">
        <v>25</v>
      </c>
      <c r="K490">
        <v>250</v>
      </c>
      <c r="L490">
        <v>15.67</v>
      </c>
      <c r="M490">
        <v>83.85</v>
      </c>
      <c r="N490" t="s">
        <v>19</v>
      </c>
    </row>
    <row r="491" spans="1:14" x14ac:dyDescent="0.3">
      <c r="A491">
        <v>9489</v>
      </c>
      <c r="B491" s="1">
        <v>45709</v>
      </c>
      <c r="C491">
        <v>2025</v>
      </c>
      <c r="D491" t="s">
        <v>42</v>
      </c>
      <c r="E491" t="s">
        <v>15</v>
      </c>
      <c r="F491" t="s">
        <v>21</v>
      </c>
      <c r="G491" t="s">
        <v>44</v>
      </c>
      <c r="H491" t="s">
        <v>45</v>
      </c>
      <c r="I491">
        <v>446</v>
      </c>
      <c r="J491">
        <v>55</v>
      </c>
      <c r="K491">
        <v>24530</v>
      </c>
      <c r="L491">
        <v>1453.17</v>
      </c>
      <c r="M491">
        <v>5836.84</v>
      </c>
      <c r="N491" t="s">
        <v>24</v>
      </c>
    </row>
    <row r="492" spans="1:14" x14ac:dyDescent="0.3">
      <c r="A492">
        <v>9490</v>
      </c>
      <c r="B492" s="1">
        <v>46014</v>
      </c>
      <c r="C492">
        <v>2025</v>
      </c>
      <c r="D492" t="s">
        <v>51</v>
      </c>
      <c r="E492" t="s">
        <v>15</v>
      </c>
      <c r="F492" t="s">
        <v>16</v>
      </c>
      <c r="G492" t="s">
        <v>17</v>
      </c>
      <c r="H492" t="s">
        <v>55</v>
      </c>
      <c r="I492">
        <v>70</v>
      </c>
      <c r="J492">
        <v>120</v>
      </c>
      <c r="K492">
        <v>8400</v>
      </c>
      <c r="L492">
        <v>560.38</v>
      </c>
      <c r="M492">
        <v>2726.88</v>
      </c>
      <c r="N492" t="s">
        <v>24</v>
      </c>
    </row>
    <row r="493" spans="1:14" x14ac:dyDescent="0.3">
      <c r="A493">
        <v>9491</v>
      </c>
      <c r="B493" s="1">
        <v>45659</v>
      </c>
      <c r="C493">
        <v>2025</v>
      </c>
      <c r="D493" t="s">
        <v>29</v>
      </c>
      <c r="E493" t="s">
        <v>30</v>
      </c>
      <c r="F493" t="s">
        <v>43</v>
      </c>
      <c r="G493" t="s">
        <v>17</v>
      </c>
      <c r="H493" t="s">
        <v>18</v>
      </c>
      <c r="I493">
        <v>476</v>
      </c>
      <c r="J493">
        <v>350</v>
      </c>
      <c r="K493">
        <v>166600</v>
      </c>
      <c r="L493">
        <v>12333.15</v>
      </c>
      <c r="M493">
        <v>51116.42</v>
      </c>
      <c r="N493" t="s">
        <v>24</v>
      </c>
    </row>
    <row r="494" spans="1:14" x14ac:dyDescent="0.3">
      <c r="A494">
        <v>9492</v>
      </c>
      <c r="B494" s="1">
        <v>45748</v>
      </c>
      <c r="C494">
        <v>2025</v>
      </c>
      <c r="D494" t="s">
        <v>49</v>
      </c>
      <c r="E494" t="s">
        <v>15</v>
      </c>
      <c r="F494" t="s">
        <v>16</v>
      </c>
      <c r="G494" t="s">
        <v>22</v>
      </c>
      <c r="H494" t="s">
        <v>47</v>
      </c>
      <c r="I494">
        <v>123</v>
      </c>
      <c r="J494">
        <v>45</v>
      </c>
      <c r="K494">
        <v>5535</v>
      </c>
      <c r="L494">
        <v>334.91</v>
      </c>
      <c r="M494">
        <v>1858.11</v>
      </c>
      <c r="N494" t="s">
        <v>24</v>
      </c>
    </row>
    <row r="495" spans="1:14" x14ac:dyDescent="0.3">
      <c r="A495">
        <v>9493</v>
      </c>
      <c r="B495" s="1">
        <v>45691</v>
      </c>
      <c r="C495">
        <v>2025</v>
      </c>
      <c r="D495" t="s">
        <v>42</v>
      </c>
      <c r="E495" t="s">
        <v>15</v>
      </c>
      <c r="F495" t="s">
        <v>16</v>
      </c>
      <c r="G495" t="s">
        <v>35</v>
      </c>
      <c r="H495" t="s">
        <v>36</v>
      </c>
      <c r="I495">
        <v>402</v>
      </c>
      <c r="J495">
        <v>35</v>
      </c>
      <c r="K495">
        <v>14070</v>
      </c>
      <c r="L495">
        <v>923.45</v>
      </c>
      <c r="M495">
        <v>3515.69</v>
      </c>
      <c r="N495" t="s">
        <v>19</v>
      </c>
    </row>
    <row r="496" spans="1:14" x14ac:dyDescent="0.3">
      <c r="A496">
        <v>9494</v>
      </c>
      <c r="B496" s="1">
        <v>45873</v>
      </c>
      <c r="C496">
        <v>2025</v>
      </c>
      <c r="D496" t="s">
        <v>20</v>
      </c>
      <c r="E496" t="s">
        <v>26</v>
      </c>
      <c r="F496" t="s">
        <v>27</v>
      </c>
      <c r="G496" t="s">
        <v>44</v>
      </c>
      <c r="H496" t="s">
        <v>45</v>
      </c>
      <c r="I496">
        <v>123</v>
      </c>
      <c r="J496">
        <v>55</v>
      </c>
      <c r="K496">
        <v>6765</v>
      </c>
      <c r="L496">
        <v>413.26</v>
      </c>
      <c r="M496">
        <v>1743.65</v>
      </c>
      <c r="N496" t="s">
        <v>24</v>
      </c>
    </row>
    <row r="497" spans="1:14" x14ac:dyDescent="0.3">
      <c r="A497">
        <v>9495</v>
      </c>
      <c r="B497" s="1">
        <v>46009</v>
      </c>
      <c r="C497">
        <v>2025</v>
      </c>
      <c r="D497" t="s">
        <v>51</v>
      </c>
      <c r="E497" t="s">
        <v>15</v>
      </c>
      <c r="F497" t="s">
        <v>21</v>
      </c>
      <c r="G497" t="s">
        <v>22</v>
      </c>
      <c r="H497" t="s">
        <v>39</v>
      </c>
      <c r="I497">
        <v>51</v>
      </c>
      <c r="J497">
        <v>25</v>
      </c>
      <c r="K497">
        <v>1275</v>
      </c>
      <c r="L497">
        <v>102.75</v>
      </c>
      <c r="M497">
        <v>253.02</v>
      </c>
      <c r="N497" t="s">
        <v>24</v>
      </c>
    </row>
    <row r="498" spans="1:14" x14ac:dyDescent="0.3">
      <c r="A498">
        <v>9496</v>
      </c>
      <c r="B498" s="1">
        <v>46017</v>
      </c>
      <c r="C498">
        <v>2025</v>
      </c>
      <c r="D498" t="s">
        <v>51</v>
      </c>
      <c r="E498" t="s">
        <v>15</v>
      </c>
      <c r="F498" t="s">
        <v>21</v>
      </c>
      <c r="G498" t="s">
        <v>17</v>
      </c>
      <c r="H498" t="s">
        <v>55</v>
      </c>
      <c r="I498">
        <v>368</v>
      </c>
      <c r="J498">
        <v>120</v>
      </c>
      <c r="K498">
        <v>44160</v>
      </c>
      <c r="L498">
        <v>2661.25</v>
      </c>
      <c r="M498">
        <v>12936.63</v>
      </c>
      <c r="N498" t="s">
        <v>19</v>
      </c>
    </row>
    <row r="499" spans="1:14" x14ac:dyDescent="0.3">
      <c r="A499">
        <v>9497</v>
      </c>
      <c r="B499" s="1">
        <v>45762</v>
      </c>
      <c r="C499">
        <v>2025</v>
      </c>
      <c r="D499" t="s">
        <v>49</v>
      </c>
      <c r="E499" t="s">
        <v>30</v>
      </c>
      <c r="F499" t="s">
        <v>31</v>
      </c>
      <c r="G499" t="s">
        <v>17</v>
      </c>
      <c r="H499" t="s">
        <v>18</v>
      </c>
      <c r="I499">
        <v>261</v>
      </c>
      <c r="J499">
        <v>350</v>
      </c>
      <c r="K499">
        <v>91350</v>
      </c>
      <c r="L499">
        <v>8540.2000000000007</v>
      </c>
      <c r="M499">
        <v>26235.98</v>
      </c>
      <c r="N499" t="s">
        <v>19</v>
      </c>
    </row>
    <row r="500" spans="1:14" x14ac:dyDescent="0.3">
      <c r="A500">
        <v>9498</v>
      </c>
      <c r="B500" s="1">
        <v>45967</v>
      </c>
      <c r="C500">
        <v>2025</v>
      </c>
      <c r="D500" t="s">
        <v>25</v>
      </c>
      <c r="E500" t="s">
        <v>26</v>
      </c>
      <c r="F500" t="s">
        <v>48</v>
      </c>
      <c r="G500" t="s">
        <v>17</v>
      </c>
      <c r="H500" t="s">
        <v>52</v>
      </c>
      <c r="I500">
        <v>378</v>
      </c>
      <c r="J500">
        <v>300</v>
      </c>
      <c r="K500">
        <v>113400</v>
      </c>
      <c r="L500">
        <v>7947.59</v>
      </c>
      <c r="M500">
        <v>24545.07</v>
      </c>
      <c r="N500" t="s">
        <v>24</v>
      </c>
    </row>
    <row r="501" spans="1:14" x14ac:dyDescent="0.3">
      <c r="A501">
        <v>9499</v>
      </c>
      <c r="B501" s="1">
        <v>45905</v>
      </c>
      <c r="C501">
        <v>2025</v>
      </c>
      <c r="D501" t="s">
        <v>37</v>
      </c>
      <c r="E501" t="s">
        <v>26</v>
      </c>
      <c r="F501" t="s">
        <v>27</v>
      </c>
      <c r="G501" t="s">
        <v>22</v>
      </c>
      <c r="H501" t="s">
        <v>39</v>
      </c>
      <c r="I501">
        <v>369</v>
      </c>
      <c r="J501">
        <v>25</v>
      </c>
      <c r="K501">
        <v>9225</v>
      </c>
      <c r="L501">
        <v>498.52</v>
      </c>
      <c r="M501">
        <v>1845.14</v>
      </c>
      <c r="N501" t="s">
        <v>24</v>
      </c>
    </row>
    <row r="502" spans="1:14" x14ac:dyDescent="0.3">
      <c r="A502">
        <v>9500</v>
      </c>
      <c r="B502" s="1">
        <v>45702</v>
      </c>
      <c r="C502">
        <v>2025</v>
      </c>
      <c r="D502" t="s">
        <v>42</v>
      </c>
      <c r="E502" t="s">
        <v>30</v>
      </c>
      <c r="F502" t="s">
        <v>43</v>
      </c>
      <c r="G502" t="s">
        <v>44</v>
      </c>
      <c r="H502" t="s">
        <v>50</v>
      </c>
      <c r="I502">
        <v>433</v>
      </c>
      <c r="J502">
        <v>150</v>
      </c>
      <c r="K502">
        <v>64950</v>
      </c>
      <c r="L502">
        <v>5439.02</v>
      </c>
      <c r="M502">
        <v>19739.53</v>
      </c>
      <c r="N502" t="s">
        <v>19</v>
      </c>
    </row>
    <row r="503" spans="1:14" x14ac:dyDescent="0.3">
      <c r="A503">
        <v>9501</v>
      </c>
      <c r="B503" s="1">
        <v>45946</v>
      </c>
      <c r="C503">
        <v>2025</v>
      </c>
      <c r="D503" t="s">
        <v>33</v>
      </c>
      <c r="E503" t="s">
        <v>26</v>
      </c>
      <c r="F503" t="s">
        <v>48</v>
      </c>
      <c r="G503" t="s">
        <v>44</v>
      </c>
      <c r="H503" t="s">
        <v>45</v>
      </c>
      <c r="I503">
        <v>85</v>
      </c>
      <c r="J503">
        <v>55</v>
      </c>
      <c r="K503">
        <v>4675</v>
      </c>
      <c r="L503">
        <v>319.23</v>
      </c>
      <c r="M503">
        <v>1245.94</v>
      </c>
      <c r="N503" t="s">
        <v>19</v>
      </c>
    </row>
    <row r="504" spans="1:14" x14ac:dyDescent="0.3">
      <c r="A504">
        <v>9502</v>
      </c>
      <c r="B504" s="1">
        <v>45766</v>
      </c>
      <c r="C504">
        <v>2025</v>
      </c>
      <c r="D504" t="s">
        <v>49</v>
      </c>
      <c r="E504" t="s">
        <v>26</v>
      </c>
      <c r="F504" t="s">
        <v>27</v>
      </c>
      <c r="G504" t="s">
        <v>22</v>
      </c>
      <c r="H504" t="s">
        <v>32</v>
      </c>
      <c r="I504">
        <v>385</v>
      </c>
      <c r="J504">
        <v>60</v>
      </c>
      <c r="K504">
        <v>23100</v>
      </c>
      <c r="L504">
        <v>1816.07</v>
      </c>
      <c r="M504">
        <v>7164.14</v>
      </c>
      <c r="N504" t="s">
        <v>24</v>
      </c>
    </row>
    <row r="505" spans="1:14" x14ac:dyDescent="0.3">
      <c r="A505">
        <v>9503</v>
      </c>
      <c r="B505" s="1">
        <v>45803</v>
      </c>
      <c r="C505">
        <v>2025</v>
      </c>
      <c r="D505" t="s">
        <v>14</v>
      </c>
      <c r="E505" t="s">
        <v>15</v>
      </c>
      <c r="F505" t="s">
        <v>21</v>
      </c>
      <c r="G505" t="s">
        <v>17</v>
      </c>
      <c r="H505" t="s">
        <v>55</v>
      </c>
      <c r="I505">
        <v>19</v>
      </c>
      <c r="J505">
        <v>120</v>
      </c>
      <c r="K505">
        <v>2280</v>
      </c>
      <c r="L505">
        <v>163.74</v>
      </c>
      <c r="M505">
        <v>691.45</v>
      </c>
      <c r="N505" t="s">
        <v>19</v>
      </c>
    </row>
    <row r="506" spans="1:14" x14ac:dyDescent="0.3">
      <c r="A506">
        <v>9504</v>
      </c>
      <c r="B506" s="1">
        <v>45999</v>
      </c>
      <c r="C506">
        <v>2025</v>
      </c>
      <c r="D506" t="s">
        <v>51</v>
      </c>
      <c r="E506" t="s">
        <v>30</v>
      </c>
      <c r="F506" t="s">
        <v>43</v>
      </c>
      <c r="G506" t="s">
        <v>22</v>
      </c>
      <c r="H506" t="s">
        <v>28</v>
      </c>
      <c r="I506">
        <v>277</v>
      </c>
      <c r="J506">
        <v>50</v>
      </c>
      <c r="K506">
        <v>13850</v>
      </c>
      <c r="L506">
        <v>1246.3800000000001</v>
      </c>
      <c r="M506">
        <v>2252.13</v>
      </c>
      <c r="N506" t="s">
        <v>19</v>
      </c>
    </row>
    <row r="507" spans="1:14" x14ac:dyDescent="0.3">
      <c r="A507">
        <v>9505</v>
      </c>
      <c r="B507" s="1">
        <v>46020</v>
      </c>
      <c r="C507">
        <v>2025</v>
      </c>
      <c r="D507" t="s">
        <v>51</v>
      </c>
      <c r="E507" t="s">
        <v>26</v>
      </c>
      <c r="F507" t="s">
        <v>48</v>
      </c>
      <c r="G507" t="s">
        <v>22</v>
      </c>
      <c r="H507" t="s">
        <v>39</v>
      </c>
      <c r="I507">
        <v>234</v>
      </c>
      <c r="J507">
        <v>25</v>
      </c>
      <c r="K507">
        <v>5850</v>
      </c>
      <c r="L507">
        <v>547.49</v>
      </c>
      <c r="M507">
        <v>1292.7</v>
      </c>
      <c r="N507" t="s">
        <v>19</v>
      </c>
    </row>
    <row r="508" spans="1:14" x14ac:dyDescent="0.3">
      <c r="A508">
        <v>9506</v>
      </c>
      <c r="B508" s="1">
        <v>45956</v>
      </c>
      <c r="C508">
        <v>2025</v>
      </c>
      <c r="D508" t="s">
        <v>33</v>
      </c>
      <c r="E508" t="s">
        <v>15</v>
      </c>
      <c r="F508" t="s">
        <v>21</v>
      </c>
      <c r="G508" t="s">
        <v>22</v>
      </c>
      <c r="H508" t="s">
        <v>28</v>
      </c>
      <c r="I508">
        <v>282</v>
      </c>
      <c r="J508">
        <v>50</v>
      </c>
      <c r="K508">
        <v>14100</v>
      </c>
      <c r="L508">
        <v>1282.81</v>
      </c>
      <c r="M508">
        <v>2282.36</v>
      </c>
      <c r="N508" t="s">
        <v>19</v>
      </c>
    </row>
    <row r="509" spans="1:14" x14ac:dyDescent="0.3">
      <c r="A509">
        <v>9507</v>
      </c>
      <c r="B509" s="1">
        <v>45920</v>
      </c>
      <c r="C509">
        <v>2025</v>
      </c>
      <c r="D509" t="s">
        <v>37</v>
      </c>
      <c r="E509" t="s">
        <v>26</v>
      </c>
      <c r="F509" t="s">
        <v>53</v>
      </c>
      <c r="G509" t="s">
        <v>44</v>
      </c>
      <c r="H509" t="s">
        <v>50</v>
      </c>
      <c r="I509">
        <v>385</v>
      </c>
      <c r="J509">
        <v>150</v>
      </c>
      <c r="K509">
        <v>57750</v>
      </c>
      <c r="L509">
        <v>4153.46</v>
      </c>
      <c r="M509">
        <v>17829.36</v>
      </c>
      <c r="N509" t="s">
        <v>19</v>
      </c>
    </row>
    <row r="510" spans="1:14" x14ac:dyDescent="0.3">
      <c r="A510">
        <v>9508</v>
      </c>
      <c r="B510" s="1">
        <v>45877</v>
      </c>
      <c r="C510">
        <v>2025</v>
      </c>
      <c r="D510" t="s">
        <v>20</v>
      </c>
      <c r="E510" t="s">
        <v>26</v>
      </c>
      <c r="F510" t="s">
        <v>27</v>
      </c>
      <c r="G510" t="s">
        <v>22</v>
      </c>
      <c r="H510" t="s">
        <v>23</v>
      </c>
      <c r="I510">
        <v>41</v>
      </c>
      <c r="J510">
        <v>420</v>
      </c>
      <c r="K510">
        <v>17220</v>
      </c>
      <c r="L510">
        <v>1631.69</v>
      </c>
      <c r="M510">
        <v>4280.2299999999996</v>
      </c>
      <c r="N510" t="s">
        <v>24</v>
      </c>
    </row>
    <row r="511" spans="1:14" x14ac:dyDescent="0.3">
      <c r="A511">
        <v>9509</v>
      </c>
      <c r="B511" s="1">
        <v>45901</v>
      </c>
      <c r="C511">
        <v>2025</v>
      </c>
      <c r="D511" t="s">
        <v>37</v>
      </c>
      <c r="E511" t="s">
        <v>30</v>
      </c>
      <c r="F511" t="s">
        <v>38</v>
      </c>
      <c r="G511" t="s">
        <v>22</v>
      </c>
      <c r="H511" t="s">
        <v>32</v>
      </c>
      <c r="I511">
        <v>344</v>
      </c>
      <c r="J511">
        <v>60</v>
      </c>
      <c r="K511">
        <v>20640</v>
      </c>
      <c r="L511">
        <v>1359.11</v>
      </c>
      <c r="M511">
        <v>4642.8999999999996</v>
      </c>
      <c r="N511" t="s">
        <v>24</v>
      </c>
    </row>
    <row r="512" spans="1:14" x14ac:dyDescent="0.3">
      <c r="A512">
        <v>9510</v>
      </c>
      <c r="B512" s="1">
        <v>45867</v>
      </c>
      <c r="C512">
        <v>2025</v>
      </c>
      <c r="D512" t="s">
        <v>54</v>
      </c>
      <c r="E512" t="s">
        <v>26</v>
      </c>
      <c r="F512" t="s">
        <v>48</v>
      </c>
      <c r="G512" t="s">
        <v>22</v>
      </c>
      <c r="H512" t="s">
        <v>47</v>
      </c>
      <c r="I512">
        <v>342</v>
      </c>
      <c r="J512">
        <v>45</v>
      </c>
      <c r="K512">
        <v>15390</v>
      </c>
      <c r="L512">
        <v>1322.97</v>
      </c>
      <c r="M512">
        <v>3115.4</v>
      </c>
      <c r="N512" t="s">
        <v>24</v>
      </c>
    </row>
    <row r="513" spans="1:14" x14ac:dyDescent="0.3">
      <c r="A513">
        <v>9511</v>
      </c>
      <c r="B513" s="1">
        <v>45818</v>
      </c>
      <c r="C513">
        <v>2025</v>
      </c>
      <c r="D513" t="s">
        <v>46</v>
      </c>
      <c r="E513" t="s">
        <v>26</v>
      </c>
      <c r="F513" t="s">
        <v>27</v>
      </c>
      <c r="G513" t="s">
        <v>17</v>
      </c>
      <c r="H513" t="s">
        <v>55</v>
      </c>
      <c r="I513">
        <v>483</v>
      </c>
      <c r="J513">
        <v>120</v>
      </c>
      <c r="K513">
        <v>57960</v>
      </c>
      <c r="L513">
        <v>4655.34</v>
      </c>
      <c r="M513">
        <v>13241.54</v>
      </c>
      <c r="N513" t="s">
        <v>19</v>
      </c>
    </row>
    <row r="514" spans="1:14" x14ac:dyDescent="0.3">
      <c r="A514">
        <v>9512</v>
      </c>
      <c r="B514" s="1">
        <v>45668</v>
      </c>
      <c r="C514">
        <v>2025</v>
      </c>
      <c r="D514" t="s">
        <v>29</v>
      </c>
      <c r="E514" t="s">
        <v>30</v>
      </c>
      <c r="F514" t="s">
        <v>38</v>
      </c>
      <c r="G514" t="s">
        <v>35</v>
      </c>
      <c r="H514" t="s">
        <v>36</v>
      </c>
      <c r="I514">
        <v>288</v>
      </c>
      <c r="J514">
        <v>35</v>
      </c>
      <c r="K514">
        <v>10080</v>
      </c>
      <c r="L514">
        <v>699.87</v>
      </c>
      <c r="M514">
        <v>2466</v>
      </c>
      <c r="N514" t="s">
        <v>19</v>
      </c>
    </row>
    <row r="515" spans="1:14" x14ac:dyDescent="0.3">
      <c r="A515">
        <v>9513</v>
      </c>
      <c r="B515" s="1">
        <v>45953</v>
      </c>
      <c r="C515">
        <v>2025</v>
      </c>
      <c r="D515" t="s">
        <v>33</v>
      </c>
      <c r="E515" t="s">
        <v>30</v>
      </c>
      <c r="F515" t="s">
        <v>31</v>
      </c>
      <c r="G515" t="s">
        <v>22</v>
      </c>
      <c r="H515" t="s">
        <v>39</v>
      </c>
      <c r="I515">
        <v>52</v>
      </c>
      <c r="J515">
        <v>25</v>
      </c>
      <c r="K515">
        <v>1300</v>
      </c>
      <c r="L515">
        <v>91.16</v>
      </c>
      <c r="M515">
        <v>360.86</v>
      </c>
      <c r="N515" t="s">
        <v>19</v>
      </c>
    </row>
    <row r="516" spans="1:14" x14ac:dyDescent="0.3">
      <c r="A516">
        <v>9514</v>
      </c>
      <c r="B516" s="1">
        <v>45905</v>
      </c>
      <c r="C516">
        <v>2025</v>
      </c>
      <c r="D516" t="s">
        <v>37</v>
      </c>
      <c r="E516" t="s">
        <v>26</v>
      </c>
      <c r="F516" t="s">
        <v>27</v>
      </c>
      <c r="G516" t="s">
        <v>17</v>
      </c>
      <c r="H516" t="s">
        <v>18</v>
      </c>
      <c r="I516">
        <v>14</v>
      </c>
      <c r="J516">
        <v>350</v>
      </c>
      <c r="K516">
        <v>4900</v>
      </c>
      <c r="L516">
        <v>401.77</v>
      </c>
      <c r="M516">
        <v>1203.21</v>
      </c>
      <c r="N516" t="s">
        <v>19</v>
      </c>
    </row>
    <row r="517" spans="1:14" x14ac:dyDescent="0.3">
      <c r="A517">
        <v>9515</v>
      </c>
      <c r="B517" s="1">
        <v>45875</v>
      </c>
      <c r="C517">
        <v>2025</v>
      </c>
      <c r="D517" t="s">
        <v>20</v>
      </c>
      <c r="E517" t="s">
        <v>30</v>
      </c>
      <c r="F517" t="s">
        <v>43</v>
      </c>
      <c r="G517" t="s">
        <v>17</v>
      </c>
      <c r="H517" t="s">
        <v>55</v>
      </c>
      <c r="I517">
        <v>294</v>
      </c>
      <c r="J517">
        <v>120</v>
      </c>
      <c r="K517">
        <v>35280</v>
      </c>
      <c r="L517">
        <v>1785.63</v>
      </c>
      <c r="M517">
        <v>7632.42</v>
      </c>
      <c r="N517" t="s">
        <v>24</v>
      </c>
    </row>
    <row r="518" spans="1:14" x14ac:dyDescent="0.3">
      <c r="A518">
        <v>9516</v>
      </c>
      <c r="B518" s="1">
        <v>45797</v>
      </c>
      <c r="C518">
        <v>2025</v>
      </c>
      <c r="D518" t="s">
        <v>14</v>
      </c>
      <c r="E518" t="s">
        <v>30</v>
      </c>
      <c r="F518" t="s">
        <v>43</v>
      </c>
      <c r="G518" t="s">
        <v>17</v>
      </c>
      <c r="H518" t="s">
        <v>55</v>
      </c>
      <c r="I518">
        <v>207</v>
      </c>
      <c r="J518">
        <v>120</v>
      </c>
      <c r="K518">
        <v>24840</v>
      </c>
      <c r="L518">
        <v>1832.57</v>
      </c>
      <c r="M518">
        <v>5134.3999999999996</v>
      </c>
      <c r="N518" t="s">
        <v>24</v>
      </c>
    </row>
    <row r="519" spans="1:14" x14ac:dyDescent="0.3">
      <c r="A519">
        <v>9517</v>
      </c>
      <c r="B519" s="1">
        <v>45852</v>
      </c>
      <c r="C519">
        <v>2025</v>
      </c>
      <c r="D519" t="s">
        <v>54</v>
      </c>
      <c r="E519" t="s">
        <v>30</v>
      </c>
      <c r="F519" t="s">
        <v>43</v>
      </c>
      <c r="G519" t="s">
        <v>22</v>
      </c>
      <c r="H519" t="s">
        <v>23</v>
      </c>
      <c r="I519">
        <v>238</v>
      </c>
      <c r="J519">
        <v>420</v>
      </c>
      <c r="K519">
        <v>99960</v>
      </c>
      <c r="L519">
        <v>6078.59</v>
      </c>
      <c r="M519">
        <v>24027.46</v>
      </c>
      <c r="N519" t="s">
        <v>24</v>
      </c>
    </row>
    <row r="520" spans="1:14" x14ac:dyDescent="0.3">
      <c r="A520">
        <v>9518</v>
      </c>
      <c r="B520" s="1">
        <v>45675</v>
      </c>
      <c r="C520">
        <v>2025</v>
      </c>
      <c r="D520" t="s">
        <v>29</v>
      </c>
      <c r="E520" t="s">
        <v>15</v>
      </c>
      <c r="F520" t="s">
        <v>21</v>
      </c>
      <c r="G520" t="s">
        <v>35</v>
      </c>
      <c r="H520" t="s">
        <v>36</v>
      </c>
      <c r="I520">
        <v>66</v>
      </c>
      <c r="J520">
        <v>35</v>
      </c>
      <c r="K520">
        <v>2310</v>
      </c>
      <c r="L520">
        <v>138.77000000000001</v>
      </c>
      <c r="M520">
        <v>717.1</v>
      </c>
      <c r="N520" t="s">
        <v>24</v>
      </c>
    </row>
    <row r="521" spans="1:14" x14ac:dyDescent="0.3">
      <c r="A521">
        <v>9519</v>
      </c>
      <c r="B521" s="1">
        <v>45742</v>
      </c>
      <c r="C521">
        <v>2025</v>
      </c>
      <c r="D521" t="s">
        <v>40</v>
      </c>
      <c r="E521" t="s">
        <v>30</v>
      </c>
      <c r="F521" t="s">
        <v>43</v>
      </c>
      <c r="G521" t="s">
        <v>17</v>
      </c>
      <c r="H521" t="s">
        <v>18</v>
      </c>
      <c r="I521">
        <v>30</v>
      </c>
      <c r="J521">
        <v>350</v>
      </c>
      <c r="K521">
        <v>10500</v>
      </c>
      <c r="L521">
        <v>589.66999999999996</v>
      </c>
      <c r="M521">
        <v>3442.08</v>
      </c>
      <c r="N521" t="s">
        <v>24</v>
      </c>
    </row>
    <row r="522" spans="1:14" x14ac:dyDescent="0.3">
      <c r="A522">
        <v>9520</v>
      </c>
      <c r="B522" s="1">
        <v>45983</v>
      </c>
      <c r="C522">
        <v>2025</v>
      </c>
      <c r="D522" t="s">
        <v>25</v>
      </c>
      <c r="E522" t="s">
        <v>30</v>
      </c>
      <c r="F522" t="s">
        <v>31</v>
      </c>
      <c r="G522" t="s">
        <v>17</v>
      </c>
      <c r="H522" t="s">
        <v>18</v>
      </c>
      <c r="I522">
        <v>345</v>
      </c>
      <c r="J522">
        <v>350</v>
      </c>
      <c r="K522">
        <v>120750</v>
      </c>
      <c r="L522">
        <v>7668.97</v>
      </c>
      <c r="M522">
        <v>32332.66</v>
      </c>
      <c r="N522" t="s">
        <v>19</v>
      </c>
    </row>
    <row r="523" spans="1:14" x14ac:dyDescent="0.3">
      <c r="A523">
        <v>9521</v>
      </c>
      <c r="B523" s="1">
        <v>45912</v>
      </c>
      <c r="C523">
        <v>2025</v>
      </c>
      <c r="D523" t="s">
        <v>37</v>
      </c>
      <c r="E523" t="s">
        <v>26</v>
      </c>
      <c r="F523" t="s">
        <v>48</v>
      </c>
      <c r="G523" t="s">
        <v>17</v>
      </c>
      <c r="H523" t="s">
        <v>52</v>
      </c>
      <c r="I523">
        <v>6</v>
      </c>
      <c r="J523">
        <v>300</v>
      </c>
      <c r="K523">
        <v>1800</v>
      </c>
      <c r="L523">
        <v>117.33</v>
      </c>
      <c r="M523">
        <v>565.86</v>
      </c>
      <c r="N523" t="s">
        <v>24</v>
      </c>
    </row>
    <row r="524" spans="1:14" x14ac:dyDescent="0.3">
      <c r="A524">
        <v>9522</v>
      </c>
      <c r="B524" s="1">
        <v>45957</v>
      </c>
      <c r="C524">
        <v>2025</v>
      </c>
      <c r="D524" t="s">
        <v>33</v>
      </c>
      <c r="E524" t="s">
        <v>30</v>
      </c>
      <c r="F524" t="s">
        <v>43</v>
      </c>
      <c r="G524" t="s">
        <v>22</v>
      </c>
      <c r="H524" t="s">
        <v>32</v>
      </c>
      <c r="I524">
        <v>211</v>
      </c>
      <c r="J524">
        <v>60</v>
      </c>
      <c r="K524">
        <v>12660</v>
      </c>
      <c r="L524">
        <v>683.29</v>
      </c>
      <c r="M524">
        <v>3362.33</v>
      </c>
      <c r="N524" t="s">
        <v>24</v>
      </c>
    </row>
    <row r="525" spans="1:14" x14ac:dyDescent="0.3">
      <c r="A525">
        <v>9523</v>
      </c>
      <c r="B525" s="1">
        <v>45878</v>
      </c>
      <c r="C525">
        <v>2025</v>
      </c>
      <c r="D525" t="s">
        <v>20</v>
      </c>
      <c r="E525" t="s">
        <v>26</v>
      </c>
      <c r="F525" t="s">
        <v>34</v>
      </c>
      <c r="G525" t="s">
        <v>22</v>
      </c>
      <c r="H525" t="s">
        <v>47</v>
      </c>
      <c r="I525">
        <v>57</v>
      </c>
      <c r="J525">
        <v>45</v>
      </c>
      <c r="K525">
        <v>2565</v>
      </c>
      <c r="L525">
        <v>224.09</v>
      </c>
      <c r="M525">
        <v>471.47</v>
      </c>
      <c r="N525" t="s">
        <v>19</v>
      </c>
    </row>
    <row r="526" spans="1:14" x14ac:dyDescent="0.3">
      <c r="A526">
        <v>9524</v>
      </c>
      <c r="B526" s="1">
        <v>45964</v>
      </c>
      <c r="C526">
        <v>2025</v>
      </c>
      <c r="D526" t="s">
        <v>25</v>
      </c>
      <c r="E526" t="s">
        <v>26</v>
      </c>
      <c r="F526" t="s">
        <v>27</v>
      </c>
      <c r="G526" t="s">
        <v>44</v>
      </c>
      <c r="H526" t="s">
        <v>56</v>
      </c>
      <c r="I526">
        <v>365</v>
      </c>
      <c r="J526">
        <v>80</v>
      </c>
      <c r="K526">
        <v>29200</v>
      </c>
      <c r="L526">
        <v>2374.13</v>
      </c>
      <c r="M526">
        <v>6536.9</v>
      </c>
      <c r="N526" t="s">
        <v>19</v>
      </c>
    </row>
    <row r="527" spans="1:14" x14ac:dyDescent="0.3">
      <c r="A527">
        <v>9525</v>
      </c>
      <c r="B527" s="1">
        <v>45959</v>
      </c>
      <c r="C527">
        <v>2025</v>
      </c>
      <c r="D527" t="s">
        <v>33</v>
      </c>
      <c r="E527" t="s">
        <v>15</v>
      </c>
      <c r="F527" t="s">
        <v>16</v>
      </c>
      <c r="G527" t="s">
        <v>22</v>
      </c>
      <c r="H527" t="s">
        <v>39</v>
      </c>
      <c r="I527">
        <v>487</v>
      </c>
      <c r="J527">
        <v>25</v>
      </c>
      <c r="K527">
        <v>12175</v>
      </c>
      <c r="L527">
        <v>839.05</v>
      </c>
      <c r="M527">
        <v>2403.91</v>
      </c>
      <c r="N527" t="s">
        <v>19</v>
      </c>
    </row>
    <row r="528" spans="1:14" x14ac:dyDescent="0.3">
      <c r="A528">
        <v>9526</v>
      </c>
      <c r="B528" s="1">
        <v>45774</v>
      </c>
      <c r="C528">
        <v>2025</v>
      </c>
      <c r="D528" t="s">
        <v>49</v>
      </c>
      <c r="E528" t="s">
        <v>15</v>
      </c>
      <c r="F528" t="s">
        <v>21</v>
      </c>
      <c r="G528" t="s">
        <v>17</v>
      </c>
      <c r="H528" t="s">
        <v>18</v>
      </c>
      <c r="I528">
        <v>192</v>
      </c>
      <c r="J528">
        <v>350</v>
      </c>
      <c r="K528">
        <v>67200</v>
      </c>
      <c r="L528">
        <v>5042.3500000000004</v>
      </c>
      <c r="M528">
        <v>13542.72</v>
      </c>
      <c r="N528" t="s">
        <v>19</v>
      </c>
    </row>
    <row r="529" spans="1:14" x14ac:dyDescent="0.3">
      <c r="A529">
        <v>9527</v>
      </c>
      <c r="B529" s="1">
        <v>45734</v>
      </c>
      <c r="C529">
        <v>2025</v>
      </c>
      <c r="D529" t="s">
        <v>40</v>
      </c>
      <c r="E529" t="s">
        <v>30</v>
      </c>
      <c r="F529" t="s">
        <v>31</v>
      </c>
      <c r="G529" t="s">
        <v>22</v>
      </c>
      <c r="H529" t="s">
        <v>47</v>
      </c>
      <c r="I529">
        <v>104</v>
      </c>
      <c r="J529">
        <v>45</v>
      </c>
      <c r="K529">
        <v>4680</v>
      </c>
      <c r="L529">
        <v>315.33999999999997</v>
      </c>
      <c r="M529">
        <v>1289.3800000000001</v>
      </c>
      <c r="N529" t="s">
        <v>24</v>
      </c>
    </row>
    <row r="530" spans="1:14" x14ac:dyDescent="0.3">
      <c r="A530">
        <v>9528</v>
      </c>
      <c r="B530" s="1">
        <v>45742</v>
      </c>
      <c r="C530">
        <v>2025</v>
      </c>
      <c r="D530" t="s">
        <v>40</v>
      </c>
      <c r="E530" t="s">
        <v>15</v>
      </c>
      <c r="F530" t="s">
        <v>21</v>
      </c>
      <c r="G530" t="s">
        <v>35</v>
      </c>
      <c r="H530" t="s">
        <v>41</v>
      </c>
      <c r="I530">
        <v>252</v>
      </c>
      <c r="J530">
        <v>140</v>
      </c>
      <c r="K530">
        <v>35280</v>
      </c>
      <c r="L530">
        <v>2621.12</v>
      </c>
      <c r="M530">
        <v>9145.25</v>
      </c>
      <c r="N530" t="s">
        <v>24</v>
      </c>
    </row>
    <row r="531" spans="1:14" x14ac:dyDescent="0.3">
      <c r="A531">
        <v>9529</v>
      </c>
      <c r="B531" s="1">
        <v>45869</v>
      </c>
      <c r="C531">
        <v>2025</v>
      </c>
      <c r="D531" t="s">
        <v>54</v>
      </c>
      <c r="E531" t="s">
        <v>30</v>
      </c>
      <c r="F531" t="s">
        <v>38</v>
      </c>
      <c r="G531" t="s">
        <v>35</v>
      </c>
      <c r="H531" t="s">
        <v>41</v>
      </c>
      <c r="I531">
        <v>155</v>
      </c>
      <c r="J531">
        <v>140</v>
      </c>
      <c r="K531">
        <v>21700</v>
      </c>
      <c r="L531">
        <v>1297.6300000000001</v>
      </c>
      <c r="M531">
        <v>7221.86</v>
      </c>
      <c r="N531" t="s">
        <v>24</v>
      </c>
    </row>
    <row r="532" spans="1:14" x14ac:dyDescent="0.3">
      <c r="A532">
        <v>9530</v>
      </c>
      <c r="B532" s="1">
        <v>45972</v>
      </c>
      <c r="C532">
        <v>2025</v>
      </c>
      <c r="D532" t="s">
        <v>25</v>
      </c>
      <c r="E532" t="s">
        <v>26</v>
      </c>
      <c r="F532" t="s">
        <v>53</v>
      </c>
      <c r="G532" t="s">
        <v>22</v>
      </c>
      <c r="H532" t="s">
        <v>28</v>
      </c>
      <c r="I532">
        <v>173</v>
      </c>
      <c r="J532">
        <v>50</v>
      </c>
      <c r="K532">
        <v>8650</v>
      </c>
      <c r="L532">
        <v>660.69</v>
      </c>
      <c r="M532">
        <v>2699.33</v>
      </c>
      <c r="N532" t="s">
        <v>19</v>
      </c>
    </row>
    <row r="533" spans="1:14" x14ac:dyDescent="0.3">
      <c r="A533">
        <v>9531</v>
      </c>
      <c r="B533" s="1">
        <v>45703</v>
      </c>
      <c r="C533">
        <v>2025</v>
      </c>
      <c r="D533" t="s">
        <v>42</v>
      </c>
      <c r="E533" t="s">
        <v>26</v>
      </c>
      <c r="F533" t="s">
        <v>27</v>
      </c>
      <c r="G533" t="s">
        <v>22</v>
      </c>
      <c r="H533" t="s">
        <v>32</v>
      </c>
      <c r="I533">
        <v>222</v>
      </c>
      <c r="J533">
        <v>60</v>
      </c>
      <c r="K533">
        <v>13320</v>
      </c>
      <c r="L533">
        <v>1271.54</v>
      </c>
      <c r="M533">
        <v>2873.76</v>
      </c>
      <c r="N533" t="s">
        <v>24</v>
      </c>
    </row>
    <row r="534" spans="1:14" x14ac:dyDescent="0.3">
      <c r="A534">
        <v>9532</v>
      </c>
      <c r="B534" s="1">
        <v>45831</v>
      </c>
      <c r="C534">
        <v>2025</v>
      </c>
      <c r="D534" t="s">
        <v>46</v>
      </c>
      <c r="E534" t="s">
        <v>30</v>
      </c>
      <c r="F534" t="s">
        <v>31</v>
      </c>
      <c r="G534" t="s">
        <v>44</v>
      </c>
      <c r="H534" t="s">
        <v>45</v>
      </c>
      <c r="I534">
        <v>103</v>
      </c>
      <c r="J534">
        <v>55</v>
      </c>
      <c r="K534">
        <v>5665</v>
      </c>
      <c r="L534">
        <v>467.25</v>
      </c>
      <c r="M534">
        <v>1094.58</v>
      </c>
      <c r="N534" t="s">
        <v>19</v>
      </c>
    </row>
    <row r="535" spans="1:14" x14ac:dyDescent="0.3">
      <c r="A535">
        <v>9533</v>
      </c>
      <c r="B535" s="1">
        <v>45997</v>
      </c>
      <c r="C535">
        <v>2025</v>
      </c>
      <c r="D535" t="s">
        <v>51</v>
      </c>
      <c r="E535" t="s">
        <v>30</v>
      </c>
      <c r="F535" t="s">
        <v>43</v>
      </c>
      <c r="G535" t="s">
        <v>35</v>
      </c>
      <c r="H535" t="s">
        <v>41</v>
      </c>
      <c r="I535">
        <v>333</v>
      </c>
      <c r="J535">
        <v>140</v>
      </c>
      <c r="K535">
        <v>46620</v>
      </c>
      <c r="L535">
        <v>2635.6</v>
      </c>
      <c r="M535">
        <v>11003.08</v>
      </c>
      <c r="N535" t="s">
        <v>19</v>
      </c>
    </row>
    <row r="536" spans="1:14" x14ac:dyDescent="0.3">
      <c r="A536">
        <v>9534</v>
      </c>
      <c r="B536" s="1">
        <v>45865</v>
      </c>
      <c r="C536">
        <v>2025</v>
      </c>
      <c r="D536" t="s">
        <v>54</v>
      </c>
      <c r="E536" t="s">
        <v>15</v>
      </c>
      <c r="F536" t="s">
        <v>21</v>
      </c>
      <c r="G536" t="s">
        <v>35</v>
      </c>
      <c r="H536" t="s">
        <v>36</v>
      </c>
      <c r="I536">
        <v>374</v>
      </c>
      <c r="J536">
        <v>35</v>
      </c>
      <c r="K536">
        <v>13090</v>
      </c>
      <c r="L536">
        <v>803.67</v>
      </c>
      <c r="M536">
        <v>3578.27</v>
      </c>
      <c r="N536" t="s">
        <v>19</v>
      </c>
    </row>
    <row r="537" spans="1:14" x14ac:dyDescent="0.3">
      <c r="A537">
        <v>9535</v>
      </c>
      <c r="B537" s="1">
        <v>45968</v>
      </c>
      <c r="C537">
        <v>2025</v>
      </c>
      <c r="D537" t="s">
        <v>25</v>
      </c>
      <c r="E537" t="s">
        <v>26</v>
      </c>
      <c r="F537" t="s">
        <v>48</v>
      </c>
      <c r="G537" t="s">
        <v>22</v>
      </c>
      <c r="H537" t="s">
        <v>32</v>
      </c>
      <c r="I537">
        <v>111</v>
      </c>
      <c r="J537">
        <v>60</v>
      </c>
      <c r="K537">
        <v>6660</v>
      </c>
      <c r="L537">
        <v>525.41</v>
      </c>
      <c r="M537">
        <v>1794.63</v>
      </c>
      <c r="N537" t="s">
        <v>24</v>
      </c>
    </row>
    <row r="538" spans="1:14" x14ac:dyDescent="0.3">
      <c r="A538">
        <v>9536</v>
      </c>
      <c r="B538" s="1">
        <v>46002</v>
      </c>
      <c r="C538">
        <v>2025</v>
      </c>
      <c r="D538" t="s">
        <v>51</v>
      </c>
      <c r="E538" t="s">
        <v>15</v>
      </c>
      <c r="F538" t="s">
        <v>21</v>
      </c>
      <c r="G538" t="s">
        <v>17</v>
      </c>
      <c r="H538" t="s">
        <v>18</v>
      </c>
      <c r="I538">
        <v>108</v>
      </c>
      <c r="J538">
        <v>350</v>
      </c>
      <c r="K538">
        <v>37800</v>
      </c>
      <c r="L538">
        <v>3759.08</v>
      </c>
      <c r="M538">
        <v>9058.7000000000007</v>
      </c>
      <c r="N538" t="s">
        <v>24</v>
      </c>
    </row>
    <row r="539" spans="1:14" x14ac:dyDescent="0.3">
      <c r="A539">
        <v>9537</v>
      </c>
      <c r="B539" s="1">
        <v>45934</v>
      </c>
      <c r="C539">
        <v>2025</v>
      </c>
      <c r="D539" t="s">
        <v>33</v>
      </c>
      <c r="E539" t="s">
        <v>26</v>
      </c>
      <c r="F539" t="s">
        <v>27</v>
      </c>
      <c r="G539" t="s">
        <v>22</v>
      </c>
      <c r="H539" t="s">
        <v>39</v>
      </c>
      <c r="I539">
        <v>319</v>
      </c>
      <c r="J539">
        <v>25</v>
      </c>
      <c r="K539">
        <v>7975</v>
      </c>
      <c r="L539">
        <v>454.28</v>
      </c>
      <c r="M539">
        <v>2232.94</v>
      </c>
      <c r="N539" t="s">
        <v>24</v>
      </c>
    </row>
    <row r="540" spans="1:14" x14ac:dyDescent="0.3">
      <c r="A540">
        <v>9538</v>
      </c>
      <c r="B540" s="1">
        <v>45804</v>
      </c>
      <c r="C540">
        <v>2025</v>
      </c>
      <c r="D540" t="s">
        <v>14</v>
      </c>
      <c r="E540" t="s">
        <v>15</v>
      </c>
      <c r="F540" t="s">
        <v>21</v>
      </c>
      <c r="G540" t="s">
        <v>17</v>
      </c>
      <c r="H540" t="s">
        <v>18</v>
      </c>
      <c r="I540">
        <v>96</v>
      </c>
      <c r="J540">
        <v>350</v>
      </c>
      <c r="K540">
        <v>33600</v>
      </c>
      <c r="L540">
        <v>2724.52</v>
      </c>
      <c r="M540">
        <v>10579.66</v>
      </c>
      <c r="N540" t="s">
        <v>19</v>
      </c>
    </row>
    <row r="541" spans="1:14" x14ac:dyDescent="0.3">
      <c r="A541">
        <v>9539</v>
      </c>
      <c r="B541" s="1">
        <v>45826</v>
      </c>
      <c r="C541">
        <v>2025</v>
      </c>
      <c r="D541" t="s">
        <v>46</v>
      </c>
      <c r="E541" t="s">
        <v>15</v>
      </c>
      <c r="F541" t="s">
        <v>21</v>
      </c>
      <c r="G541" t="s">
        <v>22</v>
      </c>
      <c r="H541" t="s">
        <v>47</v>
      </c>
      <c r="I541">
        <v>201</v>
      </c>
      <c r="J541">
        <v>45</v>
      </c>
      <c r="K541">
        <v>9045</v>
      </c>
      <c r="L541">
        <v>756.66</v>
      </c>
      <c r="M541">
        <v>1832.85</v>
      </c>
      <c r="N541" t="s">
        <v>24</v>
      </c>
    </row>
    <row r="542" spans="1:14" x14ac:dyDescent="0.3">
      <c r="A542">
        <v>9540</v>
      </c>
      <c r="B542" s="1">
        <v>45913</v>
      </c>
      <c r="C542">
        <v>2025</v>
      </c>
      <c r="D542" t="s">
        <v>37</v>
      </c>
      <c r="E542" t="s">
        <v>30</v>
      </c>
      <c r="F542" t="s">
        <v>43</v>
      </c>
      <c r="G542" t="s">
        <v>44</v>
      </c>
      <c r="H542" t="s">
        <v>56</v>
      </c>
      <c r="I542">
        <v>31</v>
      </c>
      <c r="J542">
        <v>80</v>
      </c>
      <c r="K542">
        <v>2480</v>
      </c>
      <c r="L542">
        <v>240.45</v>
      </c>
      <c r="M542">
        <v>579.71</v>
      </c>
      <c r="N542" t="s">
        <v>24</v>
      </c>
    </row>
    <row r="543" spans="1:14" x14ac:dyDescent="0.3">
      <c r="A543">
        <v>9541</v>
      </c>
      <c r="B543" s="1">
        <v>45966</v>
      </c>
      <c r="C543">
        <v>2025</v>
      </c>
      <c r="D543" t="s">
        <v>25</v>
      </c>
      <c r="E543" t="s">
        <v>15</v>
      </c>
      <c r="F543" t="s">
        <v>16</v>
      </c>
      <c r="G543" t="s">
        <v>35</v>
      </c>
      <c r="H543" t="s">
        <v>41</v>
      </c>
      <c r="I543">
        <v>157</v>
      </c>
      <c r="J543">
        <v>140</v>
      </c>
      <c r="K543">
        <v>21980</v>
      </c>
      <c r="L543">
        <v>1711.98</v>
      </c>
      <c r="M543">
        <v>4900.79</v>
      </c>
      <c r="N543" t="s">
        <v>24</v>
      </c>
    </row>
    <row r="544" spans="1:14" x14ac:dyDescent="0.3">
      <c r="A544">
        <v>9542</v>
      </c>
      <c r="B544" s="1">
        <v>45725</v>
      </c>
      <c r="C544">
        <v>2025</v>
      </c>
      <c r="D544" t="s">
        <v>40</v>
      </c>
      <c r="E544" t="s">
        <v>15</v>
      </c>
      <c r="F544" t="s">
        <v>16</v>
      </c>
      <c r="G544" t="s">
        <v>22</v>
      </c>
      <c r="H544" t="s">
        <v>39</v>
      </c>
      <c r="I544">
        <v>348</v>
      </c>
      <c r="J544">
        <v>25</v>
      </c>
      <c r="K544">
        <v>8700</v>
      </c>
      <c r="L544">
        <v>673.32</v>
      </c>
      <c r="M544">
        <v>1719.35</v>
      </c>
      <c r="N544" t="s">
        <v>19</v>
      </c>
    </row>
    <row r="545" spans="1:14" x14ac:dyDescent="0.3">
      <c r="A545">
        <v>9543</v>
      </c>
      <c r="B545" s="1">
        <v>45739</v>
      </c>
      <c r="C545">
        <v>2025</v>
      </c>
      <c r="D545" t="s">
        <v>40</v>
      </c>
      <c r="E545" t="s">
        <v>30</v>
      </c>
      <c r="F545" t="s">
        <v>31</v>
      </c>
      <c r="G545" t="s">
        <v>17</v>
      </c>
      <c r="H545" t="s">
        <v>52</v>
      </c>
      <c r="I545">
        <v>219</v>
      </c>
      <c r="J545">
        <v>300</v>
      </c>
      <c r="K545">
        <v>65700</v>
      </c>
      <c r="L545">
        <v>4829.82</v>
      </c>
      <c r="M545">
        <v>17164.38</v>
      </c>
      <c r="N545" t="s">
        <v>24</v>
      </c>
    </row>
    <row r="546" spans="1:14" x14ac:dyDescent="0.3">
      <c r="A546">
        <v>9544</v>
      </c>
      <c r="B546" s="1">
        <v>45852</v>
      </c>
      <c r="C546">
        <v>2025</v>
      </c>
      <c r="D546" t="s">
        <v>54</v>
      </c>
      <c r="E546" t="s">
        <v>30</v>
      </c>
      <c r="F546" t="s">
        <v>31</v>
      </c>
      <c r="G546" t="s">
        <v>35</v>
      </c>
      <c r="H546" t="s">
        <v>41</v>
      </c>
      <c r="I546">
        <v>339</v>
      </c>
      <c r="J546">
        <v>140</v>
      </c>
      <c r="K546">
        <v>47460</v>
      </c>
      <c r="L546">
        <v>4270.37</v>
      </c>
      <c r="M546">
        <v>8332.15</v>
      </c>
      <c r="N546" t="s">
        <v>19</v>
      </c>
    </row>
    <row r="547" spans="1:14" x14ac:dyDescent="0.3">
      <c r="A547">
        <v>9545</v>
      </c>
      <c r="B547" s="1">
        <v>45658</v>
      </c>
      <c r="C547">
        <v>2025</v>
      </c>
      <c r="D547" t="s">
        <v>29</v>
      </c>
      <c r="E547" t="s">
        <v>26</v>
      </c>
      <c r="F547" t="s">
        <v>53</v>
      </c>
      <c r="G547" t="s">
        <v>22</v>
      </c>
      <c r="H547" t="s">
        <v>23</v>
      </c>
      <c r="I547">
        <v>435</v>
      </c>
      <c r="J547">
        <v>420</v>
      </c>
      <c r="K547">
        <v>182700</v>
      </c>
      <c r="L547">
        <v>11880.75</v>
      </c>
      <c r="M547">
        <v>54949.89</v>
      </c>
      <c r="N547" t="s">
        <v>19</v>
      </c>
    </row>
    <row r="548" spans="1:14" x14ac:dyDescent="0.3">
      <c r="A548">
        <v>9546</v>
      </c>
      <c r="B548" s="1">
        <v>45684</v>
      </c>
      <c r="C548">
        <v>2025</v>
      </c>
      <c r="D548" t="s">
        <v>29</v>
      </c>
      <c r="E548" t="s">
        <v>26</v>
      </c>
      <c r="F548" t="s">
        <v>27</v>
      </c>
      <c r="G548" t="s">
        <v>44</v>
      </c>
      <c r="H548" t="s">
        <v>56</v>
      </c>
      <c r="I548">
        <v>428</v>
      </c>
      <c r="J548">
        <v>80</v>
      </c>
      <c r="K548">
        <v>34240</v>
      </c>
      <c r="L548">
        <v>3419.53</v>
      </c>
      <c r="M548">
        <v>7615.31</v>
      </c>
      <c r="N548" t="s">
        <v>24</v>
      </c>
    </row>
    <row r="549" spans="1:14" x14ac:dyDescent="0.3">
      <c r="A549">
        <v>9547</v>
      </c>
      <c r="B549" s="1">
        <v>45722</v>
      </c>
      <c r="C549">
        <v>2025</v>
      </c>
      <c r="D549" t="s">
        <v>40</v>
      </c>
      <c r="E549" t="s">
        <v>15</v>
      </c>
      <c r="F549" t="s">
        <v>21</v>
      </c>
      <c r="G549" t="s">
        <v>17</v>
      </c>
      <c r="H549" t="s">
        <v>18</v>
      </c>
      <c r="I549">
        <v>303</v>
      </c>
      <c r="J549">
        <v>350</v>
      </c>
      <c r="K549">
        <v>106050</v>
      </c>
      <c r="L549">
        <v>5417.48</v>
      </c>
      <c r="M549">
        <v>22850.720000000001</v>
      </c>
      <c r="N549" t="s">
        <v>24</v>
      </c>
    </row>
    <row r="550" spans="1:14" x14ac:dyDescent="0.3">
      <c r="A550">
        <v>9548</v>
      </c>
      <c r="B550" s="1">
        <v>45972</v>
      </c>
      <c r="C550">
        <v>2025</v>
      </c>
      <c r="D550" t="s">
        <v>25</v>
      </c>
      <c r="E550" t="s">
        <v>30</v>
      </c>
      <c r="F550" t="s">
        <v>43</v>
      </c>
      <c r="G550" t="s">
        <v>44</v>
      </c>
      <c r="H550" t="s">
        <v>50</v>
      </c>
      <c r="I550">
        <v>104</v>
      </c>
      <c r="J550">
        <v>150</v>
      </c>
      <c r="K550">
        <v>15600</v>
      </c>
      <c r="L550">
        <v>811.15</v>
      </c>
      <c r="M550">
        <v>5074.21</v>
      </c>
      <c r="N550" t="s">
        <v>24</v>
      </c>
    </row>
    <row r="551" spans="1:14" x14ac:dyDescent="0.3">
      <c r="A551">
        <v>9549</v>
      </c>
      <c r="B551" s="1">
        <v>45992</v>
      </c>
      <c r="C551">
        <v>2025</v>
      </c>
      <c r="D551" t="s">
        <v>51</v>
      </c>
      <c r="E551" t="s">
        <v>26</v>
      </c>
      <c r="F551" t="s">
        <v>53</v>
      </c>
      <c r="G551" t="s">
        <v>35</v>
      </c>
      <c r="H551" t="s">
        <v>41</v>
      </c>
      <c r="I551">
        <v>174</v>
      </c>
      <c r="J551">
        <v>140</v>
      </c>
      <c r="K551">
        <v>24360</v>
      </c>
      <c r="L551">
        <v>2182.52</v>
      </c>
      <c r="M551">
        <v>6526.23</v>
      </c>
      <c r="N551" t="s">
        <v>24</v>
      </c>
    </row>
    <row r="552" spans="1:14" x14ac:dyDescent="0.3">
      <c r="A552">
        <v>9550</v>
      </c>
      <c r="B552" s="1">
        <v>45835</v>
      </c>
      <c r="C552">
        <v>2025</v>
      </c>
      <c r="D552" t="s">
        <v>46</v>
      </c>
      <c r="E552" t="s">
        <v>30</v>
      </c>
      <c r="F552" t="s">
        <v>38</v>
      </c>
      <c r="G552" t="s">
        <v>22</v>
      </c>
      <c r="H552" t="s">
        <v>28</v>
      </c>
      <c r="I552">
        <v>32</v>
      </c>
      <c r="J552">
        <v>50</v>
      </c>
      <c r="K552">
        <v>1600</v>
      </c>
      <c r="L552">
        <v>143.47</v>
      </c>
      <c r="M552">
        <v>374.11</v>
      </c>
      <c r="N552" t="s">
        <v>19</v>
      </c>
    </row>
    <row r="553" spans="1:14" x14ac:dyDescent="0.3">
      <c r="A553">
        <v>9551</v>
      </c>
      <c r="B553" s="1">
        <v>45662</v>
      </c>
      <c r="C553">
        <v>2025</v>
      </c>
      <c r="D553" t="s">
        <v>29</v>
      </c>
      <c r="E553" t="s">
        <v>15</v>
      </c>
      <c r="F553" t="s">
        <v>16</v>
      </c>
      <c r="G553" t="s">
        <v>44</v>
      </c>
      <c r="H553" t="s">
        <v>56</v>
      </c>
      <c r="I553">
        <v>99</v>
      </c>
      <c r="J553">
        <v>80</v>
      </c>
      <c r="K553">
        <v>7920</v>
      </c>
      <c r="L553">
        <v>699.83</v>
      </c>
      <c r="M553">
        <v>1493.88</v>
      </c>
      <c r="N553" t="s">
        <v>24</v>
      </c>
    </row>
    <row r="554" spans="1:14" x14ac:dyDescent="0.3">
      <c r="A554">
        <v>9552</v>
      </c>
      <c r="B554" s="1">
        <v>45850</v>
      </c>
      <c r="C554">
        <v>2025</v>
      </c>
      <c r="D554" t="s">
        <v>54</v>
      </c>
      <c r="E554" t="s">
        <v>26</v>
      </c>
      <c r="F554" t="s">
        <v>53</v>
      </c>
      <c r="G554" t="s">
        <v>22</v>
      </c>
      <c r="H554" t="s">
        <v>39</v>
      </c>
      <c r="I554">
        <v>20</v>
      </c>
      <c r="J554">
        <v>25</v>
      </c>
      <c r="K554">
        <v>500</v>
      </c>
      <c r="L554">
        <v>27.45</v>
      </c>
      <c r="M554">
        <v>169.55</v>
      </c>
      <c r="N554" t="s">
        <v>19</v>
      </c>
    </row>
    <row r="555" spans="1:14" x14ac:dyDescent="0.3">
      <c r="A555">
        <v>9553</v>
      </c>
      <c r="B555" s="1">
        <v>45850</v>
      </c>
      <c r="C555">
        <v>2025</v>
      </c>
      <c r="D555" t="s">
        <v>54</v>
      </c>
      <c r="E555" t="s">
        <v>15</v>
      </c>
      <c r="F555" t="s">
        <v>21</v>
      </c>
      <c r="G555" t="s">
        <v>22</v>
      </c>
      <c r="H555" t="s">
        <v>23</v>
      </c>
      <c r="I555">
        <v>447</v>
      </c>
      <c r="J555">
        <v>420</v>
      </c>
      <c r="K555">
        <v>187740</v>
      </c>
      <c r="L555">
        <v>10540.64</v>
      </c>
      <c r="M555">
        <v>46612.13</v>
      </c>
      <c r="N555" t="s">
        <v>24</v>
      </c>
    </row>
    <row r="556" spans="1:14" x14ac:dyDescent="0.3">
      <c r="A556">
        <v>9554</v>
      </c>
      <c r="B556" s="1">
        <v>45717</v>
      </c>
      <c r="C556">
        <v>2025</v>
      </c>
      <c r="D556" t="s">
        <v>40</v>
      </c>
      <c r="E556" t="s">
        <v>15</v>
      </c>
      <c r="F556" t="s">
        <v>16</v>
      </c>
      <c r="G556" t="s">
        <v>44</v>
      </c>
      <c r="H556" t="s">
        <v>56</v>
      </c>
      <c r="I556">
        <v>265</v>
      </c>
      <c r="J556">
        <v>80</v>
      </c>
      <c r="K556">
        <v>21200</v>
      </c>
      <c r="L556">
        <v>1587.36</v>
      </c>
      <c r="M556">
        <v>6524.08</v>
      </c>
      <c r="N556" t="s">
        <v>24</v>
      </c>
    </row>
    <row r="557" spans="1:14" x14ac:dyDescent="0.3">
      <c r="A557">
        <v>9555</v>
      </c>
      <c r="B557" s="1">
        <v>45994</v>
      </c>
      <c r="C557">
        <v>2025</v>
      </c>
      <c r="D557" t="s">
        <v>51</v>
      </c>
      <c r="E557" t="s">
        <v>15</v>
      </c>
      <c r="F557" t="s">
        <v>16</v>
      </c>
      <c r="G557" t="s">
        <v>17</v>
      </c>
      <c r="H557" t="s">
        <v>18</v>
      </c>
      <c r="I557">
        <v>50</v>
      </c>
      <c r="J557">
        <v>350</v>
      </c>
      <c r="K557">
        <v>17500</v>
      </c>
      <c r="L557">
        <v>1164.48</v>
      </c>
      <c r="M557">
        <v>4379.6000000000004</v>
      </c>
      <c r="N557" t="s">
        <v>24</v>
      </c>
    </row>
    <row r="558" spans="1:14" x14ac:dyDescent="0.3">
      <c r="A558">
        <v>9556</v>
      </c>
      <c r="B558" s="1">
        <v>45924</v>
      </c>
      <c r="C558">
        <v>2025</v>
      </c>
      <c r="D558" t="s">
        <v>37</v>
      </c>
      <c r="E558" t="s">
        <v>30</v>
      </c>
      <c r="F558" t="s">
        <v>31</v>
      </c>
      <c r="G558" t="s">
        <v>22</v>
      </c>
      <c r="H558" t="s">
        <v>23</v>
      </c>
      <c r="I558">
        <v>317</v>
      </c>
      <c r="J558">
        <v>420</v>
      </c>
      <c r="K558">
        <v>133140</v>
      </c>
      <c r="L558">
        <v>9514.2000000000007</v>
      </c>
      <c r="M558">
        <v>43610.29</v>
      </c>
      <c r="N558" t="s">
        <v>24</v>
      </c>
    </row>
    <row r="559" spans="1:14" x14ac:dyDescent="0.3">
      <c r="A559">
        <v>9557</v>
      </c>
      <c r="B559" s="1">
        <v>45828</v>
      </c>
      <c r="C559">
        <v>2025</v>
      </c>
      <c r="D559" t="s">
        <v>46</v>
      </c>
      <c r="E559" t="s">
        <v>26</v>
      </c>
      <c r="F559" t="s">
        <v>34</v>
      </c>
      <c r="G559" t="s">
        <v>22</v>
      </c>
      <c r="H559" t="s">
        <v>28</v>
      </c>
      <c r="I559">
        <v>411</v>
      </c>
      <c r="J559">
        <v>50</v>
      </c>
      <c r="K559">
        <v>20550</v>
      </c>
      <c r="L559">
        <v>1705.93</v>
      </c>
      <c r="M559">
        <v>6009.1</v>
      </c>
      <c r="N559" t="s">
        <v>19</v>
      </c>
    </row>
    <row r="560" spans="1:14" x14ac:dyDescent="0.3">
      <c r="A560">
        <v>9558</v>
      </c>
      <c r="B560" s="1">
        <v>45776</v>
      </c>
      <c r="C560">
        <v>2025</v>
      </c>
      <c r="D560" t="s">
        <v>49</v>
      </c>
      <c r="E560" t="s">
        <v>26</v>
      </c>
      <c r="F560" t="s">
        <v>48</v>
      </c>
      <c r="G560" t="s">
        <v>44</v>
      </c>
      <c r="H560" t="s">
        <v>45</v>
      </c>
      <c r="I560">
        <v>248</v>
      </c>
      <c r="J560">
        <v>55</v>
      </c>
      <c r="K560">
        <v>13640</v>
      </c>
      <c r="L560">
        <v>832.72</v>
      </c>
      <c r="M560">
        <v>3272.39</v>
      </c>
      <c r="N560" t="s">
        <v>19</v>
      </c>
    </row>
    <row r="561" spans="1:14" x14ac:dyDescent="0.3">
      <c r="A561">
        <v>9559</v>
      </c>
      <c r="B561" s="1">
        <v>45674</v>
      </c>
      <c r="C561">
        <v>2025</v>
      </c>
      <c r="D561" t="s">
        <v>29</v>
      </c>
      <c r="E561" t="s">
        <v>30</v>
      </c>
      <c r="F561" t="s">
        <v>38</v>
      </c>
      <c r="G561" t="s">
        <v>17</v>
      </c>
      <c r="H561" t="s">
        <v>55</v>
      </c>
      <c r="I561">
        <v>271</v>
      </c>
      <c r="J561">
        <v>120</v>
      </c>
      <c r="K561">
        <v>32520</v>
      </c>
      <c r="L561">
        <v>2983.35</v>
      </c>
      <c r="M561">
        <v>8944.73</v>
      </c>
      <c r="N561" t="s">
        <v>19</v>
      </c>
    </row>
    <row r="562" spans="1:14" x14ac:dyDescent="0.3">
      <c r="A562">
        <v>9560</v>
      </c>
      <c r="B562" s="1">
        <v>45720</v>
      </c>
      <c r="C562">
        <v>2025</v>
      </c>
      <c r="D562" t="s">
        <v>40</v>
      </c>
      <c r="E562" t="s">
        <v>15</v>
      </c>
      <c r="F562" t="s">
        <v>16</v>
      </c>
      <c r="G562" t="s">
        <v>35</v>
      </c>
      <c r="H562" t="s">
        <v>41</v>
      </c>
      <c r="I562">
        <v>124</v>
      </c>
      <c r="J562">
        <v>140</v>
      </c>
      <c r="K562">
        <v>17360</v>
      </c>
      <c r="L562">
        <v>951.64</v>
      </c>
      <c r="M562">
        <v>3886.23</v>
      </c>
      <c r="N562" t="s">
        <v>19</v>
      </c>
    </row>
    <row r="563" spans="1:14" x14ac:dyDescent="0.3">
      <c r="A563">
        <v>9561</v>
      </c>
      <c r="B563" s="1">
        <v>45995</v>
      </c>
      <c r="C563">
        <v>2025</v>
      </c>
      <c r="D563" t="s">
        <v>51</v>
      </c>
      <c r="E563" t="s">
        <v>26</v>
      </c>
      <c r="F563" t="s">
        <v>53</v>
      </c>
      <c r="G563" t="s">
        <v>44</v>
      </c>
      <c r="H563" t="s">
        <v>50</v>
      </c>
      <c r="I563">
        <v>108</v>
      </c>
      <c r="J563">
        <v>150</v>
      </c>
      <c r="K563">
        <v>16200</v>
      </c>
      <c r="L563">
        <v>1174.52</v>
      </c>
      <c r="M563">
        <v>4900.6000000000004</v>
      </c>
      <c r="N563" t="s">
        <v>24</v>
      </c>
    </row>
    <row r="564" spans="1:14" x14ac:dyDescent="0.3">
      <c r="A564">
        <v>9562</v>
      </c>
      <c r="B564" s="1">
        <v>45841</v>
      </c>
      <c r="C564">
        <v>2025</v>
      </c>
      <c r="D564" t="s">
        <v>54</v>
      </c>
      <c r="E564" t="s">
        <v>26</v>
      </c>
      <c r="F564" t="s">
        <v>48</v>
      </c>
      <c r="G564" t="s">
        <v>22</v>
      </c>
      <c r="H564" t="s">
        <v>47</v>
      </c>
      <c r="I564">
        <v>212</v>
      </c>
      <c r="J564">
        <v>45</v>
      </c>
      <c r="K564">
        <v>9540</v>
      </c>
      <c r="L564">
        <v>485.22</v>
      </c>
      <c r="M564">
        <v>2830.51</v>
      </c>
      <c r="N564" t="s">
        <v>24</v>
      </c>
    </row>
    <row r="565" spans="1:14" x14ac:dyDescent="0.3">
      <c r="A565">
        <v>9563</v>
      </c>
      <c r="B565" s="1">
        <v>45993</v>
      </c>
      <c r="C565">
        <v>2025</v>
      </c>
      <c r="D565" t="s">
        <v>51</v>
      </c>
      <c r="E565" t="s">
        <v>26</v>
      </c>
      <c r="F565" t="s">
        <v>53</v>
      </c>
      <c r="G565" t="s">
        <v>22</v>
      </c>
      <c r="H565" t="s">
        <v>32</v>
      </c>
      <c r="I565">
        <v>254</v>
      </c>
      <c r="J565">
        <v>60</v>
      </c>
      <c r="K565">
        <v>15240</v>
      </c>
      <c r="L565">
        <v>816.94</v>
      </c>
      <c r="M565">
        <v>3942.89</v>
      </c>
      <c r="N565" t="s">
        <v>19</v>
      </c>
    </row>
    <row r="566" spans="1:14" x14ac:dyDescent="0.3">
      <c r="A566">
        <v>9564</v>
      </c>
      <c r="B566" s="1">
        <v>46021</v>
      </c>
      <c r="C566">
        <v>2025</v>
      </c>
      <c r="D566" t="s">
        <v>51</v>
      </c>
      <c r="E566" t="s">
        <v>15</v>
      </c>
      <c r="F566" t="s">
        <v>21</v>
      </c>
      <c r="G566" t="s">
        <v>22</v>
      </c>
      <c r="H566" t="s">
        <v>28</v>
      </c>
      <c r="I566">
        <v>156</v>
      </c>
      <c r="J566">
        <v>50</v>
      </c>
      <c r="K566">
        <v>7800</v>
      </c>
      <c r="L566">
        <v>634.49</v>
      </c>
      <c r="M566">
        <v>1885.59</v>
      </c>
      <c r="N566" t="s">
        <v>24</v>
      </c>
    </row>
    <row r="567" spans="1:14" x14ac:dyDescent="0.3">
      <c r="A567">
        <v>9565</v>
      </c>
      <c r="B567" s="1">
        <v>45947</v>
      </c>
      <c r="C567">
        <v>2025</v>
      </c>
      <c r="D567" t="s">
        <v>33</v>
      </c>
      <c r="E567" t="s">
        <v>30</v>
      </c>
      <c r="F567" t="s">
        <v>43</v>
      </c>
      <c r="G567" t="s">
        <v>22</v>
      </c>
      <c r="H567" t="s">
        <v>39</v>
      </c>
      <c r="I567">
        <v>160</v>
      </c>
      <c r="J567">
        <v>25</v>
      </c>
      <c r="K567">
        <v>4000</v>
      </c>
      <c r="L567">
        <v>377.45</v>
      </c>
      <c r="M567">
        <v>1047.73</v>
      </c>
      <c r="N567" t="s">
        <v>24</v>
      </c>
    </row>
    <row r="568" spans="1:14" x14ac:dyDescent="0.3">
      <c r="A568">
        <v>9566</v>
      </c>
      <c r="B568" s="1">
        <v>45784</v>
      </c>
      <c r="C568">
        <v>2025</v>
      </c>
      <c r="D568" t="s">
        <v>14</v>
      </c>
      <c r="E568" t="s">
        <v>15</v>
      </c>
      <c r="F568" t="s">
        <v>16</v>
      </c>
      <c r="G568" t="s">
        <v>22</v>
      </c>
      <c r="H568" t="s">
        <v>47</v>
      </c>
      <c r="I568">
        <v>77</v>
      </c>
      <c r="J568">
        <v>45</v>
      </c>
      <c r="K568">
        <v>3465</v>
      </c>
      <c r="L568">
        <v>189.39</v>
      </c>
      <c r="M568">
        <v>716.08</v>
      </c>
      <c r="N568" t="s">
        <v>24</v>
      </c>
    </row>
    <row r="569" spans="1:14" x14ac:dyDescent="0.3">
      <c r="A569">
        <v>9567</v>
      </c>
      <c r="B569" s="1">
        <v>45837</v>
      </c>
      <c r="C569">
        <v>2025</v>
      </c>
      <c r="D569" t="s">
        <v>46</v>
      </c>
      <c r="E569" t="s">
        <v>26</v>
      </c>
      <c r="F569" t="s">
        <v>53</v>
      </c>
      <c r="G569" t="s">
        <v>22</v>
      </c>
      <c r="H569" t="s">
        <v>28</v>
      </c>
      <c r="I569">
        <v>54</v>
      </c>
      <c r="J569">
        <v>50</v>
      </c>
      <c r="K569">
        <v>2700</v>
      </c>
      <c r="L569">
        <v>214.85</v>
      </c>
      <c r="M569">
        <v>847.03</v>
      </c>
      <c r="N569" t="s">
        <v>24</v>
      </c>
    </row>
    <row r="570" spans="1:14" x14ac:dyDescent="0.3">
      <c r="A570">
        <v>9568</v>
      </c>
      <c r="B570" s="1">
        <v>45715</v>
      </c>
      <c r="C570">
        <v>2025</v>
      </c>
      <c r="D570" t="s">
        <v>42</v>
      </c>
      <c r="E570" t="s">
        <v>15</v>
      </c>
      <c r="F570" t="s">
        <v>16</v>
      </c>
      <c r="G570" t="s">
        <v>44</v>
      </c>
      <c r="H570" t="s">
        <v>45</v>
      </c>
      <c r="I570">
        <v>20</v>
      </c>
      <c r="J570">
        <v>55</v>
      </c>
      <c r="K570">
        <v>1100</v>
      </c>
      <c r="L570">
        <v>87.6</v>
      </c>
      <c r="M570">
        <v>317.37</v>
      </c>
      <c r="N570" t="s">
        <v>19</v>
      </c>
    </row>
    <row r="571" spans="1:14" x14ac:dyDescent="0.3">
      <c r="A571">
        <v>9569</v>
      </c>
      <c r="B571" s="1">
        <v>45746</v>
      </c>
      <c r="C571">
        <v>2025</v>
      </c>
      <c r="D571" t="s">
        <v>40</v>
      </c>
      <c r="E571" t="s">
        <v>30</v>
      </c>
      <c r="F571" t="s">
        <v>38</v>
      </c>
      <c r="G571" t="s">
        <v>22</v>
      </c>
      <c r="H571" t="s">
        <v>32</v>
      </c>
      <c r="I571">
        <v>250</v>
      </c>
      <c r="J571">
        <v>60</v>
      </c>
      <c r="K571">
        <v>15000</v>
      </c>
      <c r="L571">
        <v>945.39</v>
      </c>
      <c r="M571">
        <v>3900.26</v>
      </c>
      <c r="N571" t="s">
        <v>24</v>
      </c>
    </row>
    <row r="572" spans="1:14" x14ac:dyDescent="0.3">
      <c r="A572">
        <v>9570</v>
      </c>
      <c r="B572" s="1">
        <v>45734</v>
      </c>
      <c r="C572">
        <v>2025</v>
      </c>
      <c r="D572" t="s">
        <v>40</v>
      </c>
      <c r="E572" t="s">
        <v>30</v>
      </c>
      <c r="F572" t="s">
        <v>43</v>
      </c>
      <c r="G572" t="s">
        <v>17</v>
      </c>
      <c r="H572" t="s">
        <v>55</v>
      </c>
      <c r="I572">
        <v>395</v>
      </c>
      <c r="J572">
        <v>120</v>
      </c>
      <c r="K572">
        <v>47400</v>
      </c>
      <c r="L572">
        <v>4281.95</v>
      </c>
      <c r="M572">
        <v>14430.87</v>
      </c>
      <c r="N572" t="s">
        <v>24</v>
      </c>
    </row>
    <row r="573" spans="1:14" x14ac:dyDescent="0.3">
      <c r="A573">
        <v>9571</v>
      </c>
      <c r="B573" s="1">
        <v>45771</v>
      </c>
      <c r="C573">
        <v>2025</v>
      </c>
      <c r="D573" t="s">
        <v>49</v>
      </c>
      <c r="E573" t="s">
        <v>15</v>
      </c>
      <c r="F573" t="s">
        <v>16</v>
      </c>
      <c r="G573" t="s">
        <v>22</v>
      </c>
      <c r="H573" t="s">
        <v>28</v>
      </c>
      <c r="I573">
        <v>485</v>
      </c>
      <c r="J573">
        <v>50</v>
      </c>
      <c r="K573">
        <v>24250</v>
      </c>
      <c r="L573">
        <v>2035.13</v>
      </c>
      <c r="M573">
        <v>5210.78</v>
      </c>
      <c r="N573" t="s">
        <v>24</v>
      </c>
    </row>
    <row r="574" spans="1:14" x14ac:dyDescent="0.3">
      <c r="A574">
        <v>9572</v>
      </c>
      <c r="B574" s="1">
        <v>46001</v>
      </c>
      <c r="C574">
        <v>2025</v>
      </c>
      <c r="D574" t="s">
        <v>51</v>
      </c>
      <c r="E574" t="s">
        <v>26</v>
      </c>
      <c r="F574" t="s">
        <v>48</v>
      </c>
      <c r="G574" t="s">
        <v>22</v>
      </c>
      <c r="H574" t="s">
        <v>28</v>
      </c>
      <c r="I574">
        <v>232</v>
      </c>
      <c r="J574">
        <v>50</v>
      </c>
      <c r="K574">
        <v>11600</v>
      </c>
      <c r="L574">
        <v>1125.2</v>
      </c>
      <c r="M574">
        <v>3423.44</v>
      </c>
      <c r="N574" t="s">
        <v>19</v>
      </c>
    </row>
    <row r="575" spans="1:14" x14ac:dyDescent="0.3">
      <c r="A575">
        <v>9573</v>
      </c>
      <c r="B575" s="1">
        <v>45843</v>
      </c>
      <c r="C575">
        <v>2025</v>
      </c>
      <c r="D575" t="s">
        <v>54</v>
      </c>
      <c r="E575" t="s">
        <v>30</v>
      </c>
      <c r="F575" t="s">
        <v>31</v>
      </c>
      <c r="G575" t="s">
        <v>44</v>
      </c>
      <c r="H575" t="s">
        <v>50</v>
      </c>
      <c r="I575">
        <v>498</v>
      </c>
      <c r="J575">
        <v>150</v>
      </c>
      <c r="K575">
        <v>74700</v>
      </c>
      <c r="L575">
        <v>4448.21</v>
      </c>
      <c r="M575">
        <v>18444.07</v>
      </c>
      <c r="N575" t="s">
        <v>19</v>
      </c>
    </row>
    <row r="576" spans="1:14" x14ac:dyDescent="0.3">
      <c r="A576">
        <v>9574</v>
      </c>
      <c r="B576" s="1">
        <v>45918</v>
      </c>
      <c r="C576">
        <v>2025</v>
      </c>
      <c r="D576" t="s">
        <v>37</v>
      </c>
      <c r="E576" t="s">
        <v>26</v>
      </c>
      <c r="F576" t="s">
        <v>53</v>
      </c>
      <c r="G576" t="s">
        <v>22</v>
      </c>
      <c r="H576" t="s">
        <v>47</v>
      </c>
      <c r="I576">
        <v>471</v>
      </c>
      <c r="J576">
        <v>45</v>
      </c>
      <c r="K576">
        <v>21195</v>
      </c>
      <c r="L576">
        <v>1840.4</v>
      </c>
      <c r="M576">
        <v>4158.55</v>
      </c>
      <c r="N576" t="s">
        <v>19</v>
      </c>
    </row>
    <row r="577" spans="1:14" x14ac:dyDescent="0.3">
      <c r="A577">
        <v>9575</v>
      </c>
      <c r="B577" s="1">
        <v>45764</v>
      </c>
      <c r="C577">
        <v>2025</v>
      </c>
      <c r="D577" t="s">
        <v>49</v>
      </c>
      <c r="E577" t="s">
        <v>26</v>
      </c>
      <c r="F577" t="s">
        <v>34</v>
      </c>
      <c r="G577" t="s">
        <v>22</v>
      </c>
      <c r="H577" t="s">
        <v>32</v>
      </c>
      <c r="I577">
        <v>473</v>
      </c>
      <c r="J577">
        <v>60</v>
      </c>
      <c r="K577">
        <v>28380</v>
      </c>
      <c r="L577">
        <v>2241.25</v>
      </c>
      <c r="M577">
        <v>7861.74</v>
      </c>
      <c r="N577" t="s">
        <v>19</v>
      </c>
    </row>
    <row r="578" spans="1:14" x14ac:dyDescent="0.3">
      <c r="A578">
        <v>9576</v>
      </c>
      <c r="B578" s="1">
        <v>45663</v>
      </c>
      <c r="C578">
        <v>2025</v>
      </c>
      <c r="D578" t="s">
        <v>29</v>
      </c>
      <c r="E578" t="s">
        <v>30</v>
      </c>
      <c r="F578" t="s">
        <v>43</v>
      </c>
      <c r="G578" t="s">
        <v>17</v>
      </c>
      <c r="H578" t="s">
        <v>55</v>
      </c>
      <c r="I578">
        <v>197</v>
      </c>
      <c r="J578">
        <v>120</v>
      </c>
      <c r="K578">
        <v>23640</v>
      </c>
      <c r="L578">
        <v>1814.26</v>
      </c>
      <c r="M578">
        <v>5194.2299999999996</v>
      </c>
      <c r="N578" t="s">
        <v>24</v>
      </c>
    </row>
    <row r="579" spans="1:14" x14ac:dyDescent="0.3">
      <c r="A579">
        <v>9577</v>
      </c>
      <c r="B579" s="1">
        <v>45714</v>
      </c>
      <c r="C579">
        <v>2025</v>
      </c>
      <c r="D579" t="s">
        <v>42</v>
      </c>
      <c r="E579" t="s">
        <v>30</v>
      </c>
      <c r="F579" t="s">
        <v>31</v>
      </c>
      <c r="G579" t="s">
        <v>35</v>
      </c>
      <c r="H579" t="s">
        <v>41</v>
      </c>
      <c r="I579">
        <v>202</v>
      </c>
      <c r="J579">
        <v>140</v>
      </c>
      <c r="K579">
        <v>28280</v>
      </c>
      <c r="L579">
        <v>2100.6799999999998</v>
      </c>
      <c r="M579">
        <v>7596.15</v>
      </c>
      <c r="N579" t="s">
        <v>19</v>
      </c>
    </row>
    <row r="580" spans="1:14" x14ac:dyDescent="0.3">
      <c r="A580">
        <v>9578</v>
      </c>
      <c r="B580" s="1">
        <v>45717</v>
      </c>
      <c r="C580">
        <v>2025</v>
      </c>
      <c r="D580" t="s">
        <v>40</v>
      </c>
      <c r="E580" t="s">
        <v>30</v>
      </c>
      <c r="F580" t="s">
        <v>31</v>
      </c>
      <c r="G580" t="s">
        <v>17</v>
      </c>
      <c r="H580" t="s">
        <v>55</v>
      </c>
      <c r="I580">
        <v>89</v>
      </c>
      <c r="J580">
        <v>120</v>
      </c>
      <c r="K580">
        <v>10680</v>
      </c>
      <c r="L580">
        <v>860.73</v>
      </c>
      <c r="M580">
        <v>3261.23</v>
      </c>
      <c r="N580" t="s">
        <v>19</v>
      </c>
    </row>
    <row r="581" spans="1:14" x14ac:dyDescent="0.3">
      <c r="A581">
        <v>9579</v>
      </c>
      <c r="B581" s="1">
        <v>45805</v>
      </c>
      <c r="C581">
        <v>2025</v>
      </c>
      <c r="D581" t="s">
        <v>14</v>
      </c>
      <c r="E581" t="s">
        <v>26</v>
      </c>
      <c r="F581" t="s">
        <v>53</v>
      </c>
      <c r="G581" t="s">
        <v>17</v>
      </c>
      <c r="H581" t="s">
        <v>52</v>
      </c>
      <c r="I581">
        <v>163</v>
      </c>
      <c r="J581">
        <v>300</v>
      </c>
      <c r="K581">
        <v>48900</v>
      </c>
      <c r="L581">
        <v>2637.03</v>
      </c>
      <c r="M581">
        <v>12844.65</v>
      </c>
      <c r="N581" t="s">
        <v>24</v>
      </c>
    </row>
    <row r="582" spans="1:14" x14ac:dyDescent="0.3">
      <c r="A582">
        <v>9580</v>
      </c>
      <c r="B582" s="1">
        <v>45779</v>
      </c>
      <c r="C582">
        <v>2025</v>
      </c>
      <c r="D582" t="s">
        <v>14</v>
      </c>
      <c r="E582" t="s">
        <v>15</v>
      </c>
      <c r="F582" t="s">
        <v>21</v>
      </c>
      <c r="G582" t="s">
        <v>22</v>
      </c>
      <c r="H582" t="s">
        <v>28</v>
      </c>
      <c r="I582">
        <v>21</v>
      </c>
      <c r="J582">
        <v>50</v>
      </c>
      <c r="K582">
        <v>1050</v>
      </c>
      <c r="L582">
        <v>104.18</v>
      </c>
      <c r="M582">
        <v>258</v>
      </c>
      <c r="N582" t="s">
        <v>19</v>
      </c>
    </row>
    <row r="583" spans="1:14" x14ac:dyDescent="0.3">
      <c r="A583">
        <v>9581</v>
      </c>
      <c r="B583" s="1">
        <v>45699</v>
      </c>
      <c r="C583">
        <v>2025</v>
      </c>
      <c r="D583" t="s">
        <v>42</v>
      </c>
      <c r="E583" t="s">
        <v>26</v>
      </c>
      <c r="F583" t="s">
        <v>48</v>
      </c>
      <c r="G583" t="s">
        <v>22</v>
      </c>
      <c r="H583" t="s">
        <v>32</v>
      </c>
      <c r="I583">
        <v>91</v>
      </c>
      <c r="J583">
        <v>60</v>
      </c>
      <c r="K583">
        <v>5460</v>
      </c>
      <c r="L583">
        <v>284.04000000000002</v>
      </c>
      <c r="M583">
        <v>1279.31</v>
      </c>
      <c r="N583" t="s">
        <v>19</v>
      </c>
    </row>
    <row r="584" spans="1:14" x14ac:dyDescent="0.3">
      <c r="A584">
        <v>9582</v>
      </c>
      <c r="B584" s="1">
        <v>46010</v>
      </c>
      <c r="C584">
        <v>2025</v>
      </c>
      <c r="D584" t="s">
        <v>51</v>
      </c>
      <c r="E584" t="s">
        <v>15</v>
      </c>
      <c r="F584" t="s">
        <v>16</v>
      </c>
      <c r="G584" t="s">
        <v>44</v>
      </c>
      <c r="H584" t="s">
        <v>45</v>
      </c>
      <c r="I584">
        <v>457</v>
      </c>
      <c r="J584">
        <v>55</v>
      </c>
      <c r="K584">
        <v>25135</v>
      </c>
      <c r="L584">
        <v>1416.13</v>
      </c>
      <c r="M584">
        <v>7363.38</v>
      </c>
      <c r="N584" t="s">
        <v>19</v>
      </c>
    </row>
    <row r="585" spans="1:14" x14ac:dyDescent="0.3">
      <c r="A585">
        <v>9583</v>
      </c>
      <c r="B585" s="1">
        <v>45796</v>
      </c>
      <c r="C585">
        <v>2025</v>
      </c>
      <c r="D585" t="s">
        <v>14</v>
      </c>
      <c r="E585" t="s">
        <v>26</v>
      </c>
      <c r="F585" t="s">
        <v>27</v>
      </c>
      <c r="G585" t="s">
        <v>44</v>
      </c>
      <c r="H585" t="s">
        <v>50</v>
      </c>
      <c r="I585">
        <v>429</v>
      </c>
      <c r="J585">
        <v>150</v>
      </c>
      <c r="K585">
        <v>64350</v>
      </c>
      <c r="L585">
        <v>5153.3100000000004</v>
      </c>
      <c r="M585">
        <v>14355.54</v>
      </c>
      <c r="N585" t="s">
        <v>24</v>
      </c>
    </row>
    <row r="586" spans="1:14" x14ac:dyDescent="0.3">
      <c r="A586">
        <v>9584</v>
      </c>
      <c r="B586" s="1">
        <v>45896</v>
      </c>
      <c r="C586">
        <v>2025</v>
      </c>
      <c r="D586" t="s">
        <v>20</v>
      </c>
      <c r="E586" t="s">
        <v>15</v>
      </c>
      <c r="F586" t="s">
        <v>21</v>
      </c>
      <c r="G586" t="s">
        <v>22</v>
      </c>
      <c r="H586" t="s">
        <v>23</v>
      </c>
      <c r="I586">
        <v>19</v>
      </c>
      <c r="J586">
        <v>420</v>
      </c>
      <c r="K586">
        <v>7980</v>
      </c>
      <c r="L586">
        <v>794.46</v>
      </c>
      <c r="M586">
        <v>1655.18</v>
      </c>
      <c r="N586" t="s">
        <v>19</v>
      </c>
    </row>
    <row r="587" spans="1:14" x14ac:dyDescent="0.3">
      <c r="A587">
        <v>9585</v>
      </c>
      <c r="B587" s="1">
        <v>45860</v>
      </c>
      <c r="C587">
        <v>2025</v>
      </c>
      <c r="D587" t="s">
        <v>54</v>
      </c>
      <c r="E587" t="s">
        <v>30</v>
      </c>
      <c r="F587" t="s">
        <v>31</v>
      </c>
      <c r="G587" t="s">
        <v>44</v>
      </c>
      <c r="H587" t="s">
        <v>50</v>
      </c>
      <c r="I587">
        <v>429</v>
      </c>
      <c r="J587">
        <v>150</v>
      </c>
      <c r="K587">
        <v>64350</v>
      </c>
      <c r="L587">
        <v>5417.77</v>
      </c>
      <c r="M587">
        <v>12549.89</v>
      </c>
      <c r="N587" t="s">
        <v>19</v>
      </c>
    </row>
    <row r="588" spans="1:14" x14ac:dyDescent="0.3">
      <c r="A588">
        <v>9586</v>
      </c>
      <c r="B588" s="1">
        <v>45952</v>
      </c>
      <c r="C588">
        <v>2025</v>
      </c>
      <c r="D588" t="s">
        <v>33</v>
      </c>
      <c r="E588" t="s">
        <v>30</v>
      </c>
      <c r="F588" t="s">
        <v>38</v>
      </c>
      <c r="G588" t="s">
        <v>17</v>
      </c>
      <c r="H588" t="s">
        <v>18</v>
      </c>
      <c r="I588">
        <v>20</v>
      </c>
      <c r="J588">
        <v>350</v>
      </c>
      <c r="K588">
        <v>7000</v>
      </c>
      <c r="L588">
        <v>448.38</v>
      </c>
      <c r="M588">
        <v>1719.35</v>
      </c>
      <c r="N588" t="s">
        <v>24</v>
      </c>
    </row>
    <row r="589" spans="1:14" x14ac:dyDescent="0.3">
      <c r="A589">
        <v>9587</v>
      </c>
      <c r="B589" s="1">
        <v>45736</v>
      </c>
      <c r="C589">
        <v>2025</v>
      </c>
      <c r="D589" t="s">
        <v>40</v>
      </c>
      <c r="E589" t="s">
        <v>15</v>
      </c>
      <c r="F589" t="s">
        <v>21</v>
      </c>
      <c r="G589" t="s">
        <v>44</v>
      </c>
      <c r="H589" t="s">
        <v>50</v>
      </c>
      <c r="I589">
        <v>227</v>
      </c>
      <c r="J589">
        <v>150</v>
      </c>
      <c r="K589">
        <v>34050</v>
      </c>
      <c r="L589">
        <v>3121</v>
      </c>
      <c r="M589">
        <v>6400.99</v>
      </c>
      <c r="N589" t="s">
        <v>19</v>
      </c>
    </row>
    <row r="590" spans="1:14" x14ac:dyDescent="0.3">
      <c r="A590">
        <v>9588</v>
      </c>
      <c r="B590" s="1">
        <v>45795</v>
      </c>
      <c r="C590">
        <v>2025</v>
      </c>
      <c r="D590" t="s">
        <v>14</v>
      </c>
      <c r="E590" t="s">
        <v>15</v>
      </c>
      <c r="F590" t="s">
        <v>21</v>
      </c>
      <c r="G590" t="s">
        <v>17</v>
      </c>
      <c r="H590" t="s">
        <v>18</v>
      </c>
      <c r="I590">
        <v>13</v>
      </c>
      <c r="J590">
        <v>350</v>
      </c>
      <c r="K590">
        <v>4550</v>
      </c>
      <c r="L590">
        <v>448.95</v>
      </c>
      <c r="M590">
        <v>927.73</v>
      </c>
      <c r="N590" t="s">
        <v>24</v>
      </c>
    </row>
    <row r="591" spans="1:14" x14ac:dyDescent="0.3">
      <c r="A591">
        <v>9589</v>
      </c>
      <c r="B591" s="1">
        <v>45821</v>
      </c>
      <c r="C591">
        <v>2025</v>
      </c>
      <c r="D591" t="s">
        <v>46</v>
      </c>
      <c r="E591" t="s">
        <v>15</v>
      </c>
      <c r="F591" t="s">
        <v>21</v>
      </c>
      <c r="G591" t="s">
        <v>22</v>
      </c>
      <c r="H591" t="s">
        <v>23</v>
      </c>
      <c r="I591">
        <v>301</v>
      </c>
      <c r="J591">
        <v>420</v>
      </c>
      <c r="K591">
        <v>126420</v>
      </c>
      <c r="L591">
        <v>7108.92</v>
      </c>
      <c r="M591">
        <v>42987.040000000001</v>
      </c>
      <c r="N591" t="s">
        <v>19</v>
      </c>
    </row>
    <row r="592" spans="1:14" x14ac:dyDescent="0.3">
      <c r="A592">
        <v>9590</v>
      </c>
      <c r="B592" s="1">
        <v>45723</v>
      </c>
      <c r="C592">
        <v>2025</v>
      </c>
      <c r="D592" t="s">
        <v>40</v>
      </c>
      <c r="E592" t="s">
        <v>26</v>
      </c>
      <c r="F592" t="s">
        <v>53</v>
      </c>
      <c r="G592" t="s">
        <v>17</v>
      </c>
      <c r="H592" t="s">
        <v>55</v>
      </c>
      <c r="I592">
        <v>339</v>
      </c>
      <c r="J592">
        <v>120</v>
      </c>
      <c r="K592">
        <v>40680</v>
      </c>
      <c r="L592">
        <v>2459.7800000000002</v>
      </c>
      <c r="M592">
        <v>9550.27</v>
      </c>
      <c r="N592" t="s">
        <v>24</v>
      </c>
    </row>
    <row r="593" spans="1:14" x14ac:dyDescent="0.3">
      <c r="A593">
        <v>9591</v>
      </c>
      <c r="B593" s="1">
        <v>45987</v>
      </c>
      <c r="C593">
        <v>2025</v>
      </c>
      <c r="D593" t="s">
        <v>25</v>
      </c>
      <c r="E593" t="s">
        <v>26</v>
      </c>
      <c r="F593" t="s">
        <v>34</v>
      </c>
      <c r="G593" t="s">
        <v>17</v>
      </c>
      <c r="H593" t="s">
        <v>55</v>
      </c>
      <c r="I593">
        <v>162</v>
      </c>
      <c r="J593">
        <v>120</v>
      </c>
      <c r="K593">
        <v>19440</v>
      </c>
      <c r="L593">
        <v>1083.1600000000001</v>
      </c>
      <c r="M593">
        <v>4618.82</v>
      </c>
      <c r="N593" t="s">
        <v>19</v>
      </c>
    </row>
    <row r="594" spans="1:14" x14ac:dyDescent="0.3">
      <c r="A594">
        <v>9592</v>
      </c>
      <c r="B594" s="1">
        <v>45752</v>
      </c>
      <c r="C594">
        <v>2025</v>
      </c>
      <c r="D594" t="s">
        <v>49</v>
      </c>
      <c r="E594" t="s">
        <v>30</v>
      </c>
      <c r="F594" t="s">
        <v>38</v>
      </c>
      <c r="G594" t="s">
        <v>44</v>
      </c>
      <c r="H594" t="s">
        <v>45</v>
      </c>
      <c r="I594">
        <v>44</v>
      </c>
      <c r="J594">
        <v>55</v>
      </c>
      <c r="K594">
        <v>2420</v>
      </c>
      <c r="L594">
        <v>198.31</v>
      </c>
      <c r="M594">
        <v>581.34</v>
      </c>
      <c r="N594" t="s">
        <v>24</v>
      </c>
    </row>
    <row r="595" spans="1:14" x14ac:dyDescent="0.3">
      <c r="A595">
        <v>9593</v>
      </c>
      <c r="B595" s="1">
        <v>45988</v>
      </c>
      <c r="C595">
        <v>2025</v>
      </c>
      <c r="D595" t="s">
        <v>25</v>
      </c>
      <c r="E595" t="s">
        <v>15</v>
      </c>
      <c r="F595" t="s">
        <v>16</v>
      </c>
      <c r="G595" t="s">
        <v>44</v>
      </c>
      <c r="H595" t="s">
        <v>50</v>
      </c>
      <c r="I595">
        <v>300</v>
      </c>
      <c r="J595">
        <v>150</v>
      </c>
      <c r="K595">
        <v>45000</v>
      </c>
      <c r="L595">
        <v>3989.34</v>
      </c>
      <c r="M595">
        <v>11595.32</v>
      </c>
      <c r="N595" t="s">
        <v>19</v>
      </c>
    </row>
    <row r="596" spans="1:14" x14ac:dyDescent="0.3">
      <c r="A596">
        <v>9594</v>
      </c>
      <c r="B596" s="1">
        <v>45810</v>
      </c>
      <c r="C596">
        <v>2025</v>
      </c>
      <c r="D596" t="s">
        <v>46</v>
      </c>
      <c r="E596" t="s">
        <v>30</v>
      </c>
      <c r="F596" t="s">
        <v>43</v>
      </c>
      <c r="G596" t="s">
        <v>22</v>
      </c>
      <c r="H596" t="s">
        <v>28</v>
      </c>
      <c r="I596">
        <v>158</v>
      </c>
      <c r="J596">
        <v>50</v>
      </c>
      <c r="K596">
        <v>7900</v>
      </c>
      <c r="L596">
        <v>737.59</v>
      </c>
      <c r="M596">
        <v>1243.9100000000001</v>
      </c>
      <c r="N596" t="s">
        <v>24</v>
      </c>
    </row>
    <row r="597" spans="1:14" x14ac:dyDescent="0.3">
      <c r="A597">
        <v>9595</v>
      </c>
      <c r="B597" s="1">
        <v>45793</v>
      </c>
      <c r="C597">
        <v>2025</v>
      </c>
      <c r="D597" t="s">
        <v>14</v>
      </c>
      <c r="E597" t="s">
        <v>26</v>
      </c>
      <c r="F597" t="s">
        <v>27</v>
      </c>
      <c r="G597" t="s">
        <v>35</v>
      </c>
      <c r="H597" t="s">
        <v>41</v>
      </c>
      <c r="I597">
        <v>130</v>
      </c>
      <c r="J597">
        <v>140</v>
      </c>
      <c r="K597">
        <v>18200</v>
      </c>
      <c r="L597">
        <v>1233.6199999999999</v>
      </c>
      <c r="M597">
        <v>3839.81</v>
      </c>
      <c r="N597" t="s">
        <v>19</v>
      </c>
    </row>
    <row r="598" spans="1:14" x14ac:dyDescent="0.3">
      <c r="A598">
        <v>9596</v>
      </c>
      <c r="B598" s="1">
        <v>46013</v>
      </c>
      <c r="C598">
        <v>2025</v>
      </c>
      <c r="D598" t="s">
        <v>51</v>
      </c>
      <c r="E598" t="s">
        <v>26</v>
      </c>
      <c r="F598" t="s">
        <v>34</v>
      </c>
      <c r="G598" t="s">
        <v>44</v>
      </c>
      <c r="H598" t="s">
        <v>45</v>
      </c>
      <c r="I598">
        <v>254</v>
      </c>
      <c r="J598">
        <v>55</v>
      </c>
      <c r="K598">
        <v>13970</v>
      </c>
      <c r="L598">
        <v>968.87</v>
      </c>
      <c r="M598">
        <v>3873.79</v>
      </c>
      <c r="N598" t="s">
        <v>19</v>
      </c>
    </row>
    <row r="599" spans="1:14" x14ac:dyDescent="0.3">
      <c r="A599">
        <v>9597</v>
      </c>
      <c r="B599" s="1">
        <v>45926</v>
      </c>
      <c r="C599">
        <v>2025</v>
      </c>
      <c r="D599" t="s">
        <v>37</v>
      </c>
      <c r="E599" t="s">
        <v>30</v>
      </c>
      <c r="F599" t="s">
        <v>31</v>
      </c>
      <c r="G599" t="s">
        <v>44</v>
      </c>
      <c r="H599" t="s">
        <v>56</v>
      </c>
      <c r="I599">
        <v>276</v>
      </c>
      <c r="J599">
        <v>80</v>
      </c>
      <c r="K599">
        <v>22080</v>
      </c>
      <c r="L599">
        <v>1810.9</v>
      </c>
      <c r="M599">
        <v>5934.94</v>
      </c>
      <c r="N599" t="s">
        <v>19</v>
      </c>
    </row>
    <row r="600" spans="1:14" x14ac:dyDescent="0.3">
      <c r="A600">
        <v>9598</v>
      </c>
      <c r="B600" s="1">
        <v>45883</v>
      </c>
      <c r="C600">
        <v>2025</v>
      </c>
      <c r="D600" t="s">
        <v>20</v>
      </c>
      <c r="E600" t="s">
        <v>30</v>
      </c>
      <c r="F600" t="s">
        <v>43</v>
      </c>
      <c r="G600" t="s">
        <v>22</v>
      </c>
      <c r="H600" t="s">
        <v>23</v>
      </c>
      <c r="I600">
        <v>111</v>
      </c>
      <c r="J600">
        <v>420</v>
      </c>
      <c r="K600">
        <v>46620</v>
      </c>
      <c r="L600">
        <v>4386.8999999999996</v>
      </c>
      <c r="M600">
        <v>14185.06</v>
      </c>
      <c r="N600" t="s">
        <v>24</v>
      </c>
    </row>
    <row r="601" spans="1:14" x14ac:dyDescent="0.3">
      <c r="A601">
        <v>9599</v>
      </c>
      <c r="B601" s="1">
        <v>45951</v>
      </c>
      <c r="C601">
        <v>2025</v>
      </c>
      <c r="D601" t="s">
        <v>33</v>
      </c>
      <c r="E601" t="s">
        <v>26</v>
      </c>
      <c r="F601" t="s">
        <v>53</v>
      </c>
      <c r="G601" t="s">
        <v>17</v>
      </c>
      <c r="H601" t="s">
        <v>52</v>
      </c>
      <c r="I601">
        <v>129</v>
      </c>
      <c r="J601">
        <v>300</v>
      </c>
      <c r="K601">
        <v>38700</v>
      </c>
      <c r="L601">
        <v>2037.54</v>
      </c>
      <c r="M601">
        <v>13050.79</v>
      </c>
      <c r="N6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Amazon_Sales_Performance_2025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s</dc:creator>
  <cp:lastModifiedBy>sanjay s</cp:lastModifiedBy>
  <dcterms:created xsi:type="dcterms:W3CDTF">2026-02-03T18:06:02Z</dcterms:created>
  <dcterms:modified xsi:type="dcterms:W3CDTF">2026-02-03T18:06:02Z</dcterms:modified>
</cp:coreProperties>
</file>